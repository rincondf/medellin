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diego.rincon\Desktop\R projects\medellin\"/>
    </mc:Choice>
  </mc:AlternateContent>
  <xr:revisionPtr revIDLastSave="0" documentId="13_ncr:1_{A8939EBA-2CBF-4FE7-B28E-9EAED9198804}" xr6:coauthVersionLast="47" xr6:coauthVersionMax="47" xr10:uidLastSave="{00000000-0000-0000-0000-000000000000}"/>
  <bookViews>
    <workbookView xWindow="-120" yWindow="-120" windowWidth="38640" windowHeight="15720" activeTab="3" xr2:uid="{00000000-000D-0000-FFFF-FFFF00000000}"/>
  </bookViews>
  <sheets>
    <sheet name="Santa Cruz " sheetId="2" r:id="rId1"/>
    <sheet name="Castilla " sheetId="3" r:id="rId2"/>
    <sheet name="Robledo" sheetId="4" r:id="rId3"/>
    <sheet name="Belen" sheetId="5" r:id="rId4"/>
    <sheet name="Buenos Aires" sheetId="6" r:id="rId5"/>
    <sheet name="Resumen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4" i="5"/>
  <c r="E5" i="6"/>
  <c r="E6" i="6"/>
  <c r="E7" i="6"/>
  <c r="E8" i="6"/>
  <c r="E9" i="6"/>
  <c r="E10" i="6"/>
  <c r="E11" i="6"/>
  <c r="E12" i="6"/>
  <c r="E13" i="6"/>
  <c r="E14" i="6"/>
  <c r="E15" i="6"/>
  <c r="E16" i="6"/>
  <c r="E4" i="6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4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4" i="2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4" i="4"/>
  <c r="N34" i="7"/>
  <c r="N33" i="7"/>
  <c r="O38" i="7" l="1"/>
  <c r="L38" i="7"/>
  <c r="J38" i="7"/>
  <c r="F38" i="7"/>
  <c r="O37" i="7"/>
  <c r="N37" i="7"/>
  <c r="L37" i="7"/>
  <c r="J37" i="7"/>
  <c r="F37" i="7"/>
  <c r="O36" i="7"/>
  <c r="P36" i="7" s="1"/>
  <c r="N36" i="7"/>
  <c r="L36" i="7"/>
  <c r="J36" i="7"/>
  <c r="H36" i="7"/>
  <c r="O35" i="7"/>
  <c r="N35" i="7"/>
  <c r="L35" i="7"/>
  <c r="J35" i="7"/>
  <c r="H35" i="7"/>
  <c r="F35" i="7"/>
  <c r="O34" i="7"/>
  <c r="P34" i="7" s="1"/>
  <c r="L34" i="7"/>
  <c r="J34" i="7"/>
  <c r="H34" i="7"/>
  <c r="F34" i="7"/>
  <c r="O33" i="7"/>
  <c r="L33" i="7"/>
  <c r="J33" i="7"/>
  <c r="H33" i="7"/>
  <c r="F33" i="7"/>
  <c r="O32" i="7"/>
  <c r="O31" i="7"/>
  <c r="O30" i="7"/>
  <c r="O28" i="7"/>
  <c r="P28" i="7" s="1"/>
  <c r="N28" i="7"/>
  <c r="L28" i="7"/>
  <c r="J28" i="7"/>
  <c r="F28" i="7"/>
  <c r="O27" i="7"/>
  <c r="P27" i="7" s="1"/>
  <c r="N27" i="7"/>
  <c r="L27" i="7"/>
  <c r="J27" i="7"/>
  <c r="F27" i="7"/>
  <c r="O26" i="7"/>
  <c r="N26" i="7"/>
  <c r="L26" i="7"/>
  <c r="J26" i="7"/>
  <c r="H26" i="7"/>
  <c r="F26" i="7"/>
  <c r="O25" i="7"/>
  <c r="N25" i="7"/>
  <c r="L25" i="7"/>
  <c r="J25" i="7"/>
  <c r="H25" i="7"/>
  <c r="F25" i="7"/>
  <c r="O24" i="7"/>
  <c r="N24" i="7"/>
  <c r="L24" i="7"/>
  <c r="J24" i="7"/>
  <c r="H24" i="7"/>
  <c r="F24" i="7"/>
  <c r="O23" i="7"/>
  <c r="N23" i="7"/>
  <c r="L23" i="7"/>
  <c r="J23" i="7"/>
  <c r="H23" i="7"/>
  <c r="F23" i="7"/>
  <c r="O22" i="7"/>
  <c r="P22" i="7" s="1"/>
  <c r="N22" i="7"/>
  <c r="J22" i="7"/>
  <c r="H22" i="7"/>
  <c r="F22" i="7"/>
  <c r="O21" i="7"/>
  <c r="O20" i="7"/>
  <c r="N20" i="7"/>
  <c r="J20" i="7"/>
  <c r="H20" i="7"/>
  <c r="F20" i="7"/>
  <c r="O19" i="7"/>
  <c r="O18" i="7"/>
  <c r="N18" i="7"/>
  <c r="L18" i="7"/>
  <c r="J18" i="7"/>
  <c r="H18" i="7"/>
  <c r="F18" i="7"/>
  <c r="O16" i="7"/>
  <c r="L16" i="7"/>
  <c r="J16" i="7"/>
  <c r="O15" i="7"/>
  <c r="F15" i="7"/>
  <c r="O14" i="7"/>
  <c r="N14" i="7"/>
  <c r="L14" i="7"/>
  <c r="J14" i="7"/>
  <c r="H14" i="7"/>
  <c r="F14" i="7"/>
  <c r="O13" i="7"/>
  <c r="N13" i="7"/>
  <c r="L13" i="7"/>
  <c r="J13" i="7"/>
  <c r="H13" i="7"/>
  <c r="F13" i="7"/>
  <c r="O12" i="7"/>
  <c r="N12" i="7"/>
  <c r="L12" i="7"/>
  <c r="J12" i="7"/>
  <c r="H12" i="7"/>
  <c r="F12" i="7"/>
  <c r="O11" i="7"/>
  <c r="N11" i="7"/>
  <c r="L11" i="7"/>
  <c r="J11" i="7"/>
  <c r="H11" i="7"/>
  <c r="F11" i="7"/>
  <c r="O9" i="7"/>
  <c r="P14" i="7" l="1"/>
  <c r="P37" i="7"/>
  <c r="P11" i="7"/>
  <c r="P26" i="7"/>
  <c r="P18" i="7"/>
  <c r="P25" i="7"/>
  <c r="P33" i="7"/>
  <c r="P24" i="7"/>
  <c r="P35" i="7"/>
  <c r="P13" i="7"/>
  <c r="P23" i="7"/>
  <c r="P20" i="7"/>
  <c r="P12" i="7"/>
</calcChain>
</file>

<file path=xl/sharedStrings.xml><?xml version="1.0" encoding="utf-8"?>
<sst xmlns="http://schemas.openxmlformats.org/spreadsheetml/2006/main" count="439" uniqueCount="179">
  <si>
    <t>Ovitraps (4 day old)</t>
  </si>
  <si>
    <t xml:space="preserve">Código </t>
  </si>
  <si>
    <t>Resultado PCR Pull</t>
  </si>
  <si>
    <t>RT-PCR</t>
  </si>
  <si>
    <t>Ovitrampas</t>
  </si>
  <si>
    <t>O1SC</t>
  </si>
  <si>
    <t>Positivo</t>
  </si>
  <si>
    <t>O2SC</t>
  </si>
  <si>
    <t>O3SC</t>
  </si>
  <si>
    <t>O8SC</t>
  </si>
  <si>
    <t>O4SC</t>
  </si>
  <si>
    <t>O5SC</t>
  </si>
  <si>
    <t>Negativo</t>
  </si>
  <si>
    <t>O13SC</t>
  </si>
  <si>
    <t>O17SC</t>
  </si>
  <si>
    <t>O6SC</t>
  </si>
  <si>
    <t>O10SC</t>
  </si>
  <si>
    <t>O9SC</t>
  </si>
  <si>
    <t>O11SC</t>
  </si>
  <si>
    <t>O14SC</t>
  </si>
  <si>
    <t>O15SC</t>
  </si>
  <si>
    <t>O16SC</t>
  </si>
  <si>
    <t>O12SC</t>
  </si>
  <si>
    <t># trampas positivas</t>
  </si>
  <si>
    <t># casa positivas adultos</t>
  </si>
  <si>
    <t># trampas Wolb + Stndard</t>
  </si>
  <si>
    <t># hembras tested</t>
  </si>
  <si>
    <t># trampas Wolb - standar</t>
  </si>
  <si>
    <t xml:space="preserve"># hembras BF tested </t>
  </si>
  <si>
    <t># trampas W- pero + qPCR</t>
  </si>
  <si>
    <t xml:space="preserve"> </t>
  </si>
  <si>
    <t xml:space="preserve"># machos tested </t>
  </si>
  <si>
    <t># hembras W+ Standard PCR</t>
  </si>
  <si>
    <t># hembras W+ qPCRPCR</t>
  </si>
  <si>
    <t># hembras W- Standard PCR</t>
  </si>
  <si>
    <t># hembras W- qPCR PCR</t>
  </si>
  <si>
    <t xml:space="preserve">Sitios propuestos </t>
  </si>
  <si>
    <t xml:space="preserve"># machos W+ Standar PCR </t>
  </si>
  <si>
    <t xml:space="preserve"># machos W+ qPCRPCR </t>
  </si>
  <si>
    <t xml:space="preserve">Ovitrampas puestas </t>
  </si>
  <si>
    <t># Machos W- Standard PCR</t>
  </si>
  <si>
    <t># Machos W- qPCR</t>
  </si>
  <si>
    <t># hembras BF W+ Stndar PCR</t>
  </si>
  <si>
    <t># hembras BF W+ qPCR</t>
  </si>
  <si>
    <t># hembras BF W- Stndar PCR</t>
  </si>
  <si>
    <t># hembras BF W- qPCR PCR</t>
  </si>
  <si>
    <t xml:space="preserve">07SC </t>
  </si>
  <si>
    <t>o12SC</t>
  </si>
  <si>
    <t>H +</t>
  </si>
  <si>
    <t>H-</t>
  </si>
  <si>
    <t>M+</t>
  </si>
  <si>
    <t>M-</t>
  </si>
  <si>
    <t xml:space="preserve">Localization </t>
  </si>
  <si>
    <t>Latitude</t>
  </si>
  <si>
    <t>Longitude</t>
  </si>
  <si>
    <t xml:space="preserve">H - </t>
  </si>
  <si>
    <t>H+</t>
  </si>
  <si>
    <t xml:space="preserve">H- </t>
  </si>
  <si>
    <t>O1C</t>
  </si>
  <si>
    <t>O3C</t>
  </si>
  <si>
    <t>O4C</t>
  </si>
  <si>
    <t>O5C</t>
  </si>
  <si>
    <t>O6C</t>
  </si>
  <si>
    <t>O7C</t>
  </si>
  <si>
    <t>O8C</t>
  </si>
  <si>
    <t>O9C</t>
  </si>
  <si>
    <t>O10C</t>
  </si>
  <si>
    <t>O12C</t>
  </si>
  <si>
    <t>O13C</t>
  </si>
  <si>
    <t>O14C</t>
  </si>
  <si>
    <t>O15C</t>
  </si>
  <si>
    <t>O16C</t>
  </si>
  <si>
    <t>O17C</t>
  </si>
  <si>
    <t>O18C</t>
  </si>
  <si>
    <t>O19C</t>
  </si>
  <si>
    <t>O20C</t>
  </si>
  <si>
    <t>O22C</t>
  </si>
  <si>
    <t>O23C</t>
  </si>
  <si>
    <t>O24C</t>
  </si>
  <si>
    <t>O25C</t>
  </si>
  <si>
    <t>O26C</t>
  </si>
  <si>
    <t>O27C</t>
  </si>
  <si>
    <t>O28C</t>
  </si>
  <si>
    <t>O29C</t>
  </si>
  <si>
    <t>O30C</t>
  </si>
  <si>
    <t>O31C</t>
  </si>
  <si>
    <t>O32C</t>
  </si>
  <si>
    <t>04C-3</t>
  </si>
  <si>
    <t>O3C-3</t>
  </si>
  <si>
    <t xml:space="preserve"># total individual tested </t>
  </si>
  <si>
    <t xml:space="preserve">RT PCR </t>
  </si>
  <si>
    <t>2R</t>
  </si>
  <si>
    <t>4R</t>
  </si>
  <si>
    <t>6R</t>
  </si>
  <si>
    <t>7R</t>
  </si>
  <si>
    <t>8R</t>
  </si>
  <si>
    <t>10R</t>
  </si>
  <si>
    <t>12R</t>
  </si>
  <si>
    <t>14R</t>
  </si>
  <si>
    <t>15R</t>
  </si>
  <si>
    <t>17R</t>
  </si>
  <si>
    <t>18R</t>
  </si>
  <si>
    <t>19R</t>
  </si>
  <si>
    <t>20R</t>
  </si>
  <si>
    <t>22R</t>
  </si>
  <si>
    <t>23R</t>
  </si>
  <si>
    <t>24R</t>
  </si>
  <si>
    <t>27R</t>
  </si>
  <si>
    <t>35R</t>
  </si>
  <si>
    <t>37R</t>
  </si>
  <si>
    <t>38R</t>
  </si>
  <si>
    <t>40R</t>
  </si>
  <si>
    <t>41R</t>
  </si>
  <si>
    <t>43R</t>
  </si>
  <si>
    <t>O5R-3</t>
  </si>
  <si>
    <t>06R-3</t>
  </si>
  <si>
    <t>OR10-3</t>
  </si>
  <si>
    <t>O17R-3</t>
  </si>
  <si>
    <t>O18R-3</t>
  </si>
  <si>
    <t># trampas W- pero - qPCR</t>
  </si>
  <si>
    <t>01B</t>
  </si>
  <si>
    <t>02B</t>
  </si>
  <si>
    <t>04B</t>
  </si>
  <si>
    <t>09B</t>
  </si>
  <si>
    <t>10B</t>
  </si>
  <si>
    <t>11B</t>
  </si>
  <si>
    <t>14B</t>
  </si>
  <si>
    <t>15B</t>
  </si>
  <si>
    <t>18B</t>
  </si>
  <si>
    <t>21B</t>
  </si>
  <si>
    <t>23B</t>
  </si>
  <si>
    <t>26B</t>
  </si>
  <si>
    <t>27B</t>
  </si>
  <si>
    <t>30B</t>
  </si>
  <si>
    <t>34B</t>
  </si>
  <si>
    <t>38B</t>
  </si>
  <si>
    <t>45B</t>
  </si>
  <si>
    <t>46B</t>
  </si>
  <si>
    <t>47B</t>
  </si>
  <si>
    <t>O1B-3</t>
  </si>
  <si>
    <t>O9B-3</t>
  </si>
  <si>
    <t>O11B-3</t>
  </si>
  <si>
    <t>O12B-3</t>
  </si>
  <si>
    <t>O13B-3</t>
  </si>
  <si>
    <t>O14B-3</t>
  </si>
  <si>
    <t>O17B-3</t>
  </si>
  <si>
    <t>37B</t>
  </si>
  <si>
    <t xml:space="preserve"># hembras tested </t>
  </si>
  <si>
    <t xml:space="preserve">Hembras BF tested </t>
  </si>
  <si>
    <t>OVITRAMPAS</t>
  </si>
  <si>
    <t>RT PCR</t>
  </si>
  <si>
    <t xml:space="preserve">H+ </t>
  </si>
  <si>
    <t>M +</t>
  </si>
  <si>
    <t>M -</t>
  </si>
  <si>
    <t>O02BA</t>
  </si>
  <si>
    <t>O03BA</t>
  </si>
  <si>
    <t>O07BA</t>
  </si>
  <si>
    <t>O08BA</t>
  </si>
  <si>
    <t>O11BA</t>
  </si>
  <si>
    <t>O12BA</t>
  </si>
  <si>
    <t>O15BA</t>
  </si>
  <si>
    <t>O16BA</t>
  </si>
  <si>
    <t>O21BA</t>
  </si>
  <si>
    <t>O26BA</t>
  </si>
  <si>
    <t>O28BA</t>
  </si>
  <si>
    <t>O30BA</t>
  </si>
  <si>
    <t># machos tested</t>
  </si>
  <si>
    <t>Santa Cruz</t>
  </si>
  <si>
    <t>Castilla</t>
  </si>
  <si>
    <t>Robledo</t>
  </si>
  <si>
    <t xml:space="preserve">Belen </t>
  </si>
  <si>
    <t xml:space="preserve">Buenos Aires </t>
  </si>
  <si>
    <t>Suma</t>
  </si>
  <si>
    <t>#</t>
  </si>
  <si>
    <t>%</t>
  </si>
  <si>
    <t xml:space="preserve">Hembras Tested </t>
  </si>
  <si>
    <t xml:space="preserve">hembras BF tested </t>
  </si>
  <si>
    <t>Machos tested</t>
  </si>
  <si>
    <t>07-R3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</si>
</sst>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</font>
    <font>
      <b/>
      <sz val="11"/>
      <color theme="1"/>
      <name val="Arial"/>
      <family val="2"/>
    </font>
    <font>
      <sz val="12"/>
      <name val="Aptos Narrow"/>
    </font>
    <font>
      <sz val="12"/>
      <color theme="1"/>
      <name val="Aptos Narrow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</font>
    <font>
      <b/>
      <sz val="12"/>
      <name val="Aptos Narrow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indexed="64"/>
      </patternFill>
    </fill>
    <fill>
      <patternFill patternType="solid">
        <fgColor rgb="FFE9C1F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rgb="FFE8E8E8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C511"/>
        <bgColor rgb="FF92C51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92D050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31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8" borderId="21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4" xfId="0" applyFont="1" applyBorder="1"/>
    <xf numFmtId="0" fontId="5" fillId="15" borderId="26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18" borderId="2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0" fontId="0" fillId="2" borderId="2" xfId="0" applyFill="1" applyBorder="1"/>
    <xf numFmtId="0" fontId="6" fillId="9" borderId="21" xfId="0" applyFont="1" applyFill="1" applyBorder="1"/>
    <xf numFmtId="0" fontId="6" fillId="9" borderId="26" xfId="0" applyFont="1" applyFill="1" applyBorder="1"/>
    <xf numFmtId="0" fontId="6" fillId="16" borderId="26" xfId="0" applyFont="1" applyFill="1" applyBorder="1"/>
    <xf numFmtId="0" fontId="6" fillId="9" borderId="29" xfId="0" applyFont="1" applyFill="1" applyBorder="1"/>
    <xf numFmtId="0" fontId="0" fillId="19" borderId="21" xfId="0" applyFill="1" applyBorder="1"/>
    <xf numFmtId="0" fontId="0" fillId="0" borderId="10" xfId="0" applyBorder="1"/>
    <xf numFmtId="0" fontId="0" fillId="0" borderId="31" xfId="0" applyBorder="1"/>
    <xf numFmtId="0" fontId="0" fillId="7" borderId="16" xfId="0" applyFill="1" applyBorder="1"/>
    <xf numFmtId="0" fontId="0" fillId="7" borderId="17" xfId="0" applyFill="1" applyBorder="1"/>
    <xf numFmtId="0" fontId="0" fillId="7" borderId="18" xfId="0" applyFill="1" applyBorder="1"/>
    <xf numFmtId="0" fontId="0" fillId="0" borderId="30" xfId="0" applyBorder="1"/>
    <xf numFmtId="0" fontId="0" fillId="0" borderId="41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5" fillId="0" borderId="29" xfId="0" applyFont="1" applyBorder="1" applyAlignment="1">
      <alignment vertical="center"/>
    </xf>
    <xf numFmtId="0" fontId="11" fillId="0" borderId="23" xfId="1" applyFont="1" applyBorder="1"/>
    <xf numFmtId="0" fontId="11" fillId="0" borderId="25" xfId="1" applyFont="1" applyBorder="1"/>
    <xf numFmtId="0" fontId="5" fillId="0" borderId="30" xfId="0" applyFont="1" applyBorder="1"/>
    <xf numFmtId="0" fontId="5" fillId="0" borderId="41" xfId="0" applyFont="1" applyBorder="1"/>
    <xf numFmtId="0" fontId="5" fillId="21" borderId="14" xfId="0" applyFont="1" applyFill="1" applyBorder="1"/>
    <xf numFmtId="0" fontId="5" fillId="21" borderId="15" xfId="0" applyFont="1" applyFill="1" applyBorder="1"/>
    <xf numFmtId="0" fontId="5" fillId="0" borderId="15" xfId="0" applyFont="1" applyBorder="1"/>
    <xf numFmtId="0" fontId="5" fillId="0" borderId="16" xfId="0" applyFont="1" applyBorder="1"/>
    <xf numFmtId="0" fontId="5" fillId="0" borderId="18" xfId="0" applyFont="1" applyBorder="1"/>
    <xf numFmtId="0" fontId="12" fillId="0" borderId="42" xfId="0" applyFont="1" applyBorder="1" applyAlignment="1">
      <alignment horizontal="center" vertical="center"/>
    </xf>
    <xf numFmtId="0" fontId="0" fillId="11" borderId="31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4" borderId="41" xfId="0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8" borderId="26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2" fillId="15" borderId="21" xfId="0" applyFont="1" applyFill="1" applyBorder="1" applyAlignment="1">
      <alignment horizontal="center" vertical="center"/>
    </xf>
    <xf numFmtId="0" fontId="12" fillId="15" borderId="26" xfId="0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20" xfId="0" applyFill="1" applyBorder="1" applyAlignment="1">
      <alignment vertical="center"/>
    </xf>
    <xf numFmtId="0" fontId="0" fillId="11" borderId="40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9" borderId="38" xfId="0" applyFont="1" applyFill="1" applyBorder="1" applyAlignment="1">
      <alignment horizontal="center" vertical="center"/>
    </xf>
    <xf numFmtId="0" fontId="6" fillId="9" borderId="49" xfId="0" applyFont="1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6" fillId="9" borderId="44" xfId="0" applyFont="1" applyFill="1" applyBorder="1" applyAlignment="1">
      <alignment horizontal="center" vertical="center"/>
    </xf>
    <xf numFmtId="0" fontId="14" fillId="0" borderId="14" xfId="0" applyFont="1" applyBorder="1"/>
    <xf numFmtId="0" fontId="14" fillId="0" borderId="16" xfId="0" applyFont="1" applyBorder="1"/>
    <xf numFmtId="0" fontId="11" fillId="0" borderId="16" xfId="1" applyFont="1" applyBorder="1"/>
    <xf numFmtId="0" fontId="11" fillId="0" borderId="18" xfId="1" applyFont="1" applyBorder="1"/>
    <xf numFmtId="0" fontId="0" fillId="0" borderId="1" xfId="0" applyBorder="1" applyAlignment="1">
      <alignment horizontal="center" vertical="center"/>
    </xf>
    <xf numFmtId="0" fontId="0" fillId="11" borderId="8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25" borderId="12" xfId="0" applyFill="1" applyBorder="1" applyAlignment="1">
      <alignment horizontal="center" vertical="center" wrapText="1"/>
    </xf>
    <xf numFmtId="0" fontId="0" fillId="25" borderId="9" xfId="0" applyFill="1" applyBorder="1" applyAlignment="1">
      <alignment horizontal="center" vertical="center" wrapText="1"/>
    </xf>
    <xf numFmtId="0" fontId="6" fillId="16" borderId="45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6" fillId="26" borderId="45" xfId="0" applyFont="1" applyFill="1" applyBorder="1" applyAlignment="1">
      <alignment horizontal="center" vertical="center"/>
    </xf>
    <xf numFmtId="0" fontId="6" fillId="9" borderId="4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49" fontId="0" fillId="0" borderId="0" xfId="0" applyNumberFormat="1"/>
    <xf numFmtId="0" fontId="16" fillId="14" borderId="2" xfId="0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4" fillId="0" borderId="10" xfId="0" applyFont="1" applyBorder="1"/>
    <xf numFmtId="0" fontId="16" fillId="0" borderId="46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9" fillId="0" borderId="14" xfId="0" applyFont="1" applyBorder="1"/>
    <xf numFmtId="0" fontId="19" fillId="0" borderId="15" xfId="0" applyFont="1" applyBorder="1"/>
    <xf numFmtId="0" fontId="10" fillId="0" borderId="15" xfId="0" applyFont="1" applyBorder="1"/>
    <xf numFmtId="0" fontId="10" fillId="0" borderId="18" xfId="0" applyFont="1" applyBorder="1"/>
    <xf numFmtId="0" fontId="0" fillId="0" borderId="3" xfId="0" applyBorder="1"/>
    <xf numFmtId="0" fontId="20" fillId="0" borderId="3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0" fontId="22" fillId="14" borderId="8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6" fillId="16" borderId="24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0" fontId="11" fillId="23" borderId="21" xfId="0" applyFont="1" applyFill="1" applyBorder="1" applyAlignment="1">
      <alignment horizontal="center" vertical="center"/>
    </xf>
    <xf numFmtId="0" fontId="6" fillId="16" borderId="2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27" borderId="5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21" borderId="10" xfId="2" applyFont="1" applyFill="1" applyBorder="1"/>
    <xf numFmtId="0" fontId="14" fillId="19" borderId="10" xfId="2" applyFont="1" applyFill="1" applyBorder="1"/>
    <xf numFmtId="0" fontId="14" fillId="0" borderId="10" xfId="2" applyFont="1" applyBorder="1"/>
    <xf numFmtId="0" fontId="14" fillId="20" borderId="10" xfId="2" applyFont="1" applyFill="1" applyBorder="1"/>
    <xf numFmtId="0" fontId="14" fillId="17" borderId="10" xfId="2" applyFont="1" applyFill="1" applyBorder="1"/>
    <xf numFmtId="0" fontId="14" fillId="6" borderId="10" xfId="2" applyFont="1" applyFill="1" applyBorder="1"/>
    <xf numFmtId="0" fontId="14" fillId="7" borderId="10" xfId="2" applyFont="1" applyFill="1" applyBorder="1"/>
    <xf numFmtId="0" fontId="14" fillId="20" borderId="10" xfId="0" applyFont="1" applyFill="1" applyBorder="1"/>
    <xf numFmtId="0" fontId="14" fillId="19" borderId="10" xfId="0" applyFont="1" applyFill="1" applyBorder="1"/>
    <xf numFmtId="0" fontId="14" fillId="30" borderId="10" xfId="0" applyFont="1" applyFill="1" applyBorder="1"/>
    <xf numFmtId="0" fontId="11" fillId="13" borderId="21" xfId="0" applyFont="1" applyFill="1" applyBorder="1" applyAlignment="1">
      <alignment horizontal="center" vertical="center"/>
    </xf>
    <xf numFmtId="0" fontId="0" fillId="13" borderId="14" xfId="0" applyFill="1" applyBorder="1"/>
    <xf numFmtId="0" fontId="0" fillId="13" borderId="15" xfId="0" applyFill="1" applyBorder="1"/>
    <xf numFmtId="0" fontId="14" fillId="6" borderId="10" xfId="0" applyFont="1" applyFill="1" applyBorder="1"/>
    <xf numFmtId="0" fontId="23" fillId="0" borderId="17" xfId="0" applyFont="1" applyBorder="1"/>
    <xf numFmtId="0" fontId="23" fillId="0" borderId="0" xfId="0" applyFont="1"/>
    <xf numFmtId="0" fontId="1" fillId="0" borderId="0" xfId="0" applyFont="1"/>
    <xf numFmtId="0" fontId="0" fillId="11" borderId="8" xfId="0" applyFill="1" applyBorder="1" applyAlignment="1">
      <alignment horizontal="center" wrapText="1"/>
    </xf>
    <xf numFmtId="0" fontId="0" fillId="14" borderId="9" xfId="0" applyFill="1" applyBorder="1" applyAlignment="1">
      <alignment horizontal="center" wrapText="1"/>
    </xf>
    <xf numFmtId="0" fontId="0" fillId="11" borderId="9" xfId="0" applyFill="1" applyBorder="1" applyAlignment="1">
      <alignment horizontal="center" wrapText="1"/>
    </xf>
    <xf numFmtId="0" fontId="0" fillId="14" borderId="8" xfId="0" applyFill="1" applyBorder="1" applyAlignment="1">
      <alignment horizontal="center" wrapText="1"/>
    </xf>
    <xf numFmtId="0" fontId="6" fillId="9" borderId="22" xfId="0" applyFont="1" applyFill="1" applyBorder="1"/>
    <xf numFmtId="0" fontId="6" fillId="9" borderId="52" xfId="0" applyFont="1" applyFill="1" applyBorder="1"/>
    <xf numFmtId="0" fontId="6" fillId="9" borderId="54" xfId="0" applyFont="1" applyFill="1" applyBorder="1"/>
    <xf numFmtId="0" fontId="11" fillId="32" borderId="26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6" fillId="9" borderId="0" xfId="0" applyFont="1" applyFill="1"/>
    <xf numFmtId="0" fontId="0" fillId="7" borderId="6" xfId="0" applyFill="1" applyBorder="1"/>
    <xf numFmtId="0" fontId="0" fillId="22" borderId="21" xfId="0" applyFill="1" applyBorder="1"/>
    <xf numFmtId="0" fontId="0" fillId="22" borderId="22" xfId="0" applyFill="1" applyBorder="1"/>
    <xf numFmtId="0" fontId="14" fillId="0" borderId="10" xfId="1" applyFont="1" applyBorder="1"/>
    <xf numFmtId="0" fontId="11" fillId="0" borderId="29" xfId="0" applyFont="1" applyBorder="1" applyAlignment="1">
      <alignment horizontal="center" vertical="center"/>
    </xf>
    <xf numFmtId="0" fontId="14" fillId="21" borderId="10" xfId="1" applyFont="1" applyFill="1" applyBorder="1"/>
    <xf numFmtId="0" fontId="11" fillId="0" borderId="2" xfId="0" applyFont="1" applyBorder="1" applyAlignment="1">
      <alignment horizontal="center" vertical="center"/>
    </xf>
    <xf numFmtId="0" fontId="14" fillId="13" borderId="10" xfId="1" applyFont="1" applyFill="1" applyBorder="1"/>
    <xf numFmtId="0" fontId="0" fillId="13" borderId="22" xfId="0" applyFill="1" applyBorder="1"/>
    <xf numFmtId="0" fontId="14" fillId="10" borderId="10" xfId="1" applyFont="1" applyFill="1" applyBorder="1"/>
    <xf numFmtId="0" fontId="21" fillId="13" borderId="26" xfId="0" applyFont="1" applyFill="1" applyBorder="1" applyAlignment="1">
      <alignment horizontal="center" vertical="center"/>
    </xf>
    <xf numFmtId="0" fontId="6" fillId="33" borderId="54" xfId="0" applyFont="1" applyFill="1" applyBorder="1"/>
    <xf numFmtId="0" fontId="0" fillId="7" borderId="2" xfId="0" applyFill="1" applyBorder="1"/>
    <xf numFmtId="0" fontId="6" fillId="13" borderId="0" xfId="0" applyFont="1" applyFill="1"/>
    <xf numFmtId="0" fontId="5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41" xfId="0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0" fontId="5" fillId="0" borderId="32" xfId="0" applyFont="1" applyBorder="1"/>
    <xf numFmtId="0" fontId="0" fillId="0" borderId="14" xfId="0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5" fillId="12" borderId="15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5" xfId="0" applyFont="1" applyBorder="1"/>
    <xf numFmtId="2" fontId="0" fillId="0" borderId="15" xfId="0" applyNumberFormat="1" applyBorder="1" applyAlignment="1">
      <alignment horizontal="center"/>
    </xf>
    <xf numFmtId="1" fontId="0" fillId="12" borderId="14" xfId="0" applyNumberFormat="1" applyFill="1" applyBorder="1" applyAlignment="1">
      <alignment horizontal="center"/>
    </xf>
    <xf numFmtId="2" fontId="0" fillId="12" borderId="15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2" fontId="0" fillId="0" borderId="5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12" borderId="15" xfId="0" applyNumberFormat="1" applyFill="1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164" fontId="0" fillId="34" borderId="15" xfId="0" applyNumberForma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0" borderId="55" xfId="0" applyBorder="1"/>
    <xf numFmtId="164" fontId="24" fillId="12" borderId="15" xfId="0" applyNumberFormat="1" applyFont="1" applyFill="1" applyBorder="1" applyAlignment="1">
      <alignment horizontal="center"/>
    </xf>
    <xf numFmtId="0" fontId="24" fillId="12" borderId="41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164" fontId="24" fillId="12" borderId="41" xfId="0" applyNumberFormat="1" applyFont="1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164" fontId="0" fillId="35" borderId="15" xfId="0" applyNumberFormat="1" applyFill="1" applyBorder="1" applyAlignment="1">
      <alignment horizontal="center"/>
    </xf>
    <xf numFmtId="0" fontId="0" fillId="35" borderId="37" xfId="0" applyFill="1" applyBorder="1" applyAlignment="1">
      <alignment horizontal="center"/>
    </xf>
    <xf numFmtId="164" fontId="0" fillId="35" borderId="55" xfId="0" applyNumberFormat="1" applyFill="1" applyBorder="1" applyAlignment="1">
      <alignment horizontal="center"/>
    </xf>
    <xf numFmtId="0" fontId="5" fillId="35" borderId="14" xfId="0" applyFont="1" applyFill="1" applyBorder="1"/>
    <xf numFmtId="0" fontId="0" fillId="30" borderId="14" xfId="0" applyFill="1" applyBorder="1" applyAlignment="1">
      <alignment horizontal="left"/>
    </xf>
    <xf numFmtId="0" fontId="0" fillId="30" borderId="10" xfId="0" applyFill="1" applyBorder="1" applyAlignment="1">
      <alignment horizontal="left"/>
    </xf>
    <xf numFmtId="0" fontId="0" fillId="30" borderId="55" xfId="0" applyFill="1" applyBorder="1" applyAlignment="1">
      <alignment horizontal="left"/>
    </xf>
    <xf numFmtId="0" fontId="0" fillId="30" borderId="14" xfId="0" applyFill="1" applyBorder="1" applyAlignment="1">
      <alignment horizontal="center"/>
    </xf>
    <xf numFmtId="164" fontId="0" fillId="30" borderId="15" xfId="0" applyNumberFormat="1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164" fontId="0" fillId="30" borderId="55" xfId="0" applyNumberFormat="1" applyFill="1" applyBorder="1" applyAlignment="1">
      <alignment horizontal="center"/>
    </xf>
    <xf numFmtId="0" fontId="5" fillId="30" borderId="14" xfId="0" applyFont="1" applyFill="1" applyBorder="1"/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5" xfId="0" applyBorder="1" applyAlignment="1">
      <alignment horizontal="left"/>
    </xf>
    <xf numFmtId="0" fontId="0" fillId="30" borderId="15" xfId="0" applyFill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12" borderId="18" xfId="0" applyNumberFormat="1" applyFill="1" applyBorder="1" applyAlignment="1">
      <alignment horizontal="center"/>
    </xf>
    <xf numFmtId="0" fontId="12" fillId="15" borderId="20" xfId="0" applyFont="1" applyFill="1" applyBorder="1" applyAlignment="1">
      <alignment horizontal="center" vertical="center"/>
    </xf>
    <xf numFmtId="0" fontId="15" fillId="0" borderId="14" xfId="0" applyFont="1" applyBorder="1"/>
    <xf numFmtId="0" fontId="12" fillId="0" borderId="46" xfId="0" applyFont="1" applyBorder="1" applyAlignment="1">
      <alignment horizontal="center" vertical="center"/>
    </xf>
    <xf numFmtId="0" fontId="15" fillId="0" borderId="16" xfId="0" applyFont="1" applyBorder="1"/>
    <xf numFmtId="0" fontId="6" fillId="36" borderId="45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vertical="center"/>
    </xf>
    <xf numFmtId="0" fontId="6" fillId="26" borderId="7" xfId="0" applyFont="1" applyFill="1" applyBorder="1" applyAlignment="1">
      <alignment horizontal="center" vertical="center"/>
    </xf>
    <xf numFmtId="0" fontId="7" fillId="37" borderId="2" xfId="0" applyFont="1" applyFill="1" applyBorder="1" applyAlignment="1">
      <alignment horizontal="center" vertical="center" wrapText="1"/>
    </xf>
    <xf numFmtId="0" fontId="7" fillId="37" borderId="29" xfId="0" applyFont="1" applyFill="1" applyBorder="1" applyAlignment="1">
      <alignment horizontal="center" vertical="center" wrapText="1"/>
    </xf>
    <xf numFmtId="0" fontId="0" fillId="10" borderId="0" xfId="0" applyFill="1"/>
    <xf numFmtId="0" fontId="0" fillId="2" borderId="3" xfId="0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0" fillId="3" borderId="22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11" fillId="4" borderId="43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/>
    </xf>
    <xf numFmtId="0" fontId="0" fillId="22" borderId="22" xfId="0" applyFill="1" applyBorder="1" applyAlignment="1">
      <alignment horizontal="center" vertical="center"/>
    </xf>
    <xf numFmtId="0" fontId="0" fillId="22" borderId="35" xfId="0" applyFill="1" applyBorder="1" applyAlignment="1">
      <alignment horizontal="center" vertical="center"/>
    </xf>
    <xf numFmtId="0" fontId="0" fillId="24" borderId="22" xfId="0" applyFill="1" applyBorder="1" applyAlignment="1">
      <alignment horizontal="center" vertical="center"/>
    </xf>
    <xf numFmtId="0" fontId="0" fillId="24" borderId="35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0" fillId="28" borderId="28" xfId="0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0" fillId="0" borderId="0" xfId="0"/>
    <xf numFmtId="0" fontId="3" fillId="29" borderId="12" xfId="0" applyFont="1" applyFill="1" applyBorder="1" applyAlignment="1">
      <alignment horizontal="center" vertical="center" wrapText="1"/>
    </xf>
    <xf numFmtId="0" fontId="3" fillId="29" borderId="1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3" fillId="29" borderId="51" xfId="0" applyFont="1" applyFill="1" applyBorder="1" applyAlignment="1">
      <alignment horizontal="center" vertical="center" wrapText="1"/>
    </xf>
    <xf numFmtId="0" fontId="3" fillId="29" borderId="5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0" fillId="31" borderId="28" xfId="0" applyFill="1" applyBorder="1" applyAlignment="1">
      <alignment horizontal="center"/>
    </xf>
    <xf numFmtId="0" fontId="0" fillId="35" borderId="7" xfId="0" applyFill="1" applyBorder="1" applyAlignment="1">
      <alignment horizontal="left"/>
    </xf>
    <xf numFmtId="0" fontId="0" fillId="35" borderId="51" xfId="0" applyFill="1" applyBorder="1" applyAlignment="1">
      <alignment horizontal="left"/>
    </xf>
    <xf numFmtId="0" fontId="0" fillId="30" borderId="7" xfId="0" applyFill="1" applyBorder="1" applyAlignment="1">
      <alignment horizontal="left"/>
    </xf>
    <xf numFmtId="0" fontId="0" fillId="30" borderId="51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0" borderId="5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5" xfId="0" applyBorder="1" applyAlignment="1">
      <alignment horizontal="left"/>
    </xf>
    <xf numFmtId="0" fontId="0" fillId="35" borderId="14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35" borderId="55" xfId="0" applyFill="1" applyBorder="1" applyAlignment="1">
      <alignment horizontal="left"/>
    </xf>
    <xf numFmtId="0" fontId="0" fillId="30" borderId="14" xfId="0" applyFill="1" applyBorder="1" applyAlignment="1">
      <alignment horizontal="left"/>
    </xf>
    <xf numFmtId="0" fontId="0" fillId="30" borderId="10" xfId="0" applyFill="1" applyBorder="1" applyAlignment="1">
      <alignment horizontal="left"/>
    </xf>
    <xf numFmtId="0" fontId="0" fillId="30" borderId="55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9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0" xfId="0" applyFill="1" applyBorder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6"/>
  <sheetViews>
    <sheetView zoomScale="70" zoomScaleNormal="70" workbookViewId="0">
      <selection activeCell="E4" sqref="E4"/>
    </sheetView>
  </sheetViews>
  <sheetFormatPr defaultColWidth="11.125" defaultRowHeight="15.75" x14ac:dyDescent="0.25"/>
  <cols>
    <col min="1" max="1" width="6.375" customWidth="1"/>
    <col min="2" max="3" width="13.375" customWidth="1"/>
    <col min="4" max="5" width="9.75" customWidth="1"/>
    <col min="6" max="6" width="3.375" customWidth="1"/>
    <col min="7" max="7" width="2.75" customWidth="1"/>
    <col min="8" max="9" width="4.625" customWidth="1"/>
    <col min="10" max="10" width="16.875" customWidth="1"/>
    <col min="11" max="11" width="9.125" customWidth="1"/>
    <col min="12" max="12" width="4.75" customWidth="1"/>
    <col min="13" max="13" width="5.75" customWidth="1"/>
    <col min="14" max="14" width="5" customWidth="1"/>
    <col min="15" max="15" width="4.625" customWidth="1"/>
    <col min="16" max="16" width="4.75" customWidth="1"/>
    <col min="17" max="17" width="4.375" customWidth="1"/>
    <col min="18" max="18" width="5.375" customWidth="1"/>
    <col min="19" max="19" width="5" customWidth="1"/>
    <col min="20" max="20" width="4.5" customWidth="1"/>
    <col min="21" max="21" width="3.625" customWidth="1"/>
    <col min="22" max="22" width="3.5" customWidth="1"/>
    <col min="23" max="23" width="2.75" customWidth="1"/>
  </cols>
  <sheetData>
    <row r="1" spans="1:9" ht="15" customHeight="1" thickBot="1" x14ac:dyDescent="0.3">
      <c r="A1" s="1"/>
      <c r="B1" s="29"/>
      <c r="C1" s="29"/>
      <c r="D1" s="14" t="s">
        <v>0</v>
      </c>
      <c r="E1" s="14"/>
      <c r="F1" s="238"/>
      <c r="G1" s="238"/>
      <c r="H1" s="238"/>
      <c r="I1" s="239"/>
    </row>
    <row r="2" spans="1:9" ht="15.75" customHeight="1" thickBot="1" x14ac:dyDescent="0.3">
      <c r="A2" s="236" t="s">
        <v>1</v>
      </c>
      <c r="B2" s="243" t="s">
        <v>52</v>
      </c>
      <c r="C2" s="244"/>
      <c r="D2" s="245" t="s">
        <v>2</v>
      </c>
      <c r="F2" s="240" t="s">
        <v>3</v>
      </c>
      <c r="G2" s="241"/>
      <c r="H2" s="241"/>
      <c r="I2" s="242"/>
    </row>
    <row r="3" spans="1:9" ht="16.5" thickBot="1" x14ac:dyDescent="0.3">
      <c r="A3" s="237"/>
      <c r="B3" s="31" t="s">
        <v>53</v>
      </c>
      <c r="C3" s="32" t="s">
        <v>54</v>
      </c>
      <c r="D3" s="246"/>
      <c r="F3" s="22" t="s">
        <v>48</v>
      </c>
      <c r="G3" s="23" t="s">
        <v>49</v>
      </c>
      <c r="H3" s="23" t="s">
        <v>50</v>
      </c>
      <c r="I3" s="24" t="s">
        <v>51</v>
      </c>
    </row>
    <row r="4" spans="1:9" ht="16.5" thickBot="1" x14ac:dyDescent="0.3">
      <c r="A4" s="6" t="s">
        <v>5</v>
      </c>
      <c r="B4" s="33">
        <v>6.2969499999999998</v>
      </c>
      <c r="C4" s="34">
        <v>-75.550674999999998</v>
      </c>
      <c r="D4" s="15" t="s">
        <v>6</v>
      </c>
      <c r="E4">
        <f>(F4+H4)/(SUM(F4:I4))</f>
        <v>0.66666666666666663</v>
      </c>
      <c r="F4" s="25">
        <v>2</v>
      </c>
      <c r="G4" s="21">
        <v>1</v>
      </c>
      <c r="H4" s="21"/>
      <c r="I4" s="26"/>
    </row>
    <row r="5" spans="1:9" ht="16.5" thickBot="1" x14ac:dyDescent="0.3">
      <c r="A5" s="7" t="s">
        <v>7</v>
      </c>
      <c r="B5" s="35">
        <v>6.2951833329999998</v>
      </c>
      <c r="C5" s="36">
        <v>-75.552201667000006</v>
      </c>
      <c r="D5" s="16" t="s">
        <v>6</v>
      </c>
      <c r="E5" t="e">
        <f t="shared" ref="E5:E19" si="0">(F5+H5)/(SUM(F5:I5))</f>
        <v>#DIV/0!</v>
      </c>
      <c r="F5" s="27"/>
      <c r="G5" s="20"/>
      <c r="H5" s="20"/>
      <c r="I5" s="28"/>
    </row>
    <row r="6" spans="1:9" ht="16.5" thickBot="1" x14ac:dyDescent="0.3">
      <c r="A6" s="6" t="s">
        <v>8</v>
      </c>
      <c r="B6" s="8">
        <v>6.2918516670000004</v>
      </c>
      <c r="C6" s="37">
        <v>-75.553574999999995</v>
      </c>
      <c r="D6" s="15" t="s">
        <v>6</v>
      </c>
      <c r="E6">
        <f t="shared" si="0"/>
        <v>1</v>
      </c>
      <c r="F6" s="27">
        <v>1</v>
      </c>
      <c r="G6" s="20"/>
      <c r="H6" s="20">
        <v>2</v>
      </c>
      <c r="I6" s="28"/>
    </row>
    <row r="7" spans="1:9" ht="16.5" thickBot="1" x14ac:dyDescent="0.3">
      <c r="A7" s="7" t="s">
        <v>9</v>
      </c>
      <c r="B7" s="8">
        <v>6.2905699999999998</v>
      </c>
      <c r="C7" s="37">
        <v>-75.556768332999994</v>
      </c>
      <c r="D7" s="16" t="s">
        <v>6</v>
      </c>
      <c r="E7">
        <f t="shared" si="0"/>
        <v>1</v>
      </c>
      <c r="F7" s="27">
        <v>1</v>
      </c>
      <c r="G7" s="20"/>
      <c r="H7" s="20">
        <v>2</v>
      </c>
      <c r="I7" s="28"/>
    </row>
    <row r="8" spans="1:9" ht="16.5" thickBot="1" x14ac:dyDescent="0.3">
      <c r="A8" s="6" t="s">
        <v>10</v>
      </c>
      <c r="B8" s="35">
        <v>6.2931016670000002</v>
      </c>
      <c r="C8" s="36">
        <v>-75.555194999999998</v>
      </c>
      <c r="D8" s="15" t="s">
        <v>6</v>
      </c>
      <c r="E8">
        <f t="shared" si="0"/>
        <v>1</v>
      </c>
      <c r="F8" s="27">
        <v>2</v>
      </c>
      <c r="G8" s="20"/>
      <c r="H8" s="20">
        <v>1</v>
      </c>
      <c r="I8" s="28"/>
    </row>
    <row r="9" spans="1:9" ht="16.5" thickBot="1" x14ac:dyDescent="0.3">
      <c r="A9" s="9" t="s">
        <v>11</v>
      </c>
      <c r="B9" s="8">
        <v>6.2970949999999997</v>
      </c>
      <c r="C9" s="37">
        <v>-75.554688333000001</v>
      </c>
      <c r="D9" s="17" t="s">
        <v>6</v>
      </c>
      <c r="E9">
        <f t="shared" si="0"/>
        <v>1</v>
      </c>
      <c r="F9" s="27">
        <v>1</v>
      </c>
      <c r="G9" s="20"/>
      <c r="H9" s="20">
        <v>1</v>
      </c>
      <c r="I9" s="28"/>
    </row>
    <row r="10" spans="1:9" ht="16.5" thickBot="1" x14ac:dyDescent="0.3">
      <c r="A10" s="6" t="s">
        <v>13</v>
      </c>
      <c r="B10" s="8">
        <v>6.3006766670000003</v>
      </c>
      <c r="C10" s="37">
        <v>-75.552520000000001</v>
      </c>
      <c r="D10" s="15" t="s">
        <v>6</v>
      </c>
      <c r="E10">
        <f t="shared" si="0"/>
        <v>1</v>
      </c>
      <c r="F10" s="27">
        <v>2</v>
      </c>
      <c r="G10" s="20"/>
      <c r="H10" s="20">
        <v>1</v>
      </c>
      <c r="I10" s="28"/>
    </row>
    <row r="11" spans="1:9" ht="16.5" thickBot="1" x14ac:dyDescent="0.3">
      <c r="A11" s="7" t="s">
        <v>14</v>
      </c>
      <c r="B11" s="8">
        <v>6.2998333329999996</v>
      </c>
      <c r="C11" s="37">
        <v>-75.555726667000002</v>
      </c>
      <c r="D11" s="16" t="s">
        <v>6</v>
      </c>
      <c r="E11">
        <f t="shared" si="0"/>
        <v>1</v>
      </c>
      <c r="F11" s="27">
        <v>1</v>
      </c>
      <c r="G11" s="20"/>
      <c r="H11" s="20">
        <v>2</v>
      </c>
      <c r="I11" s="28"/>
    </row>
    <row r="12" spans="1:9" ht="16.5" thickBot="1" x14ac:dyDescent="0.3">
      <c r="A12" s="6" t="s">
        <v>15</v>
      </c>
      <c r="B12" s="35">
        <v>6.297218333</v>
      </c>
      <c r="C12" s="36">
        <v>-75.557216667000006</v>
      </c>
      <c r="D12" s="15" t="s">
        <v>6</v>
      </c>
      <c r="E12">
        <f t="shared" si="0"/>
        <v>1</v>
      </c>
      <c r="F12" s="27">
        <v>3</v>
      </c>
      <c r="G12" s="20"/>
      <c r="H12" s="20"/>
      <c r="I12" s="28"/>
    </row>
    <row r="13" spans="1:9" ht="16.5" thickBot="1" x14ac:dyDescent="0.3">
      <c r="A13" s="7" t="s">
        <v>16</v>
      </c>
      <c r="B13" s="35">
        <v>6.2946216670000004</v>
      </c>
      <c r="C13" s="36">
        <v>-75.560040000000001</v>
      </c>
      <c r="D13" s="16" t="s">
        <v>6</v>
      </c>
      <c r="E13">
        <f t="shared" si="0"/>
        <v>1</v>
      </c>
      <c r="F13" s="27">
        <v>1</v>
      </c>
      <c r="G13" s="20"/>
      <c r="H13" s="20">
        <v>1</v>
      </c>
      <c r="I13" s="28"/>
    </row>
    <row r="14" spans="1:9" ht="16.5" thickBot="1" x14ac:dyDescent="0.3">
      <c r="A14" s="6" t="s">
        <v>17</v>
      </c>
      <c r="B14" s="8">
        <v>6.2919733329999996</v>
      </c>
      <c r="C14" s="37">
        <v>-75.561886666999996</v>
      </c>
      <c r="D14" s="15" t="s">
        <v>6</v>
      </c>
      <c r="E14">
        <f t="shared" si="0"/>
        <v>0.66666666666666663</v>
      </c>
      <c r="F14" s="27">
        <v>1</v>
      </c>
      <c r="G14" s="20">
        <v>1</v>
      </c>
      <c r="H14" s="20">
        <v>1</v>
      </c>
      <c r="I14" s="28"/>
    </row>
    <row r="15" spans="1:9" ht="16.5" thickBot="1" x14ac:dyDescent="0.3">
      <c r="A15" s="7" t="s">
        <v>18</v>
      </c>
      <c r="B15" s="8">
        <v>6.303223333</v>
      </c>
      <c r="C15" s="37">
        <v>-75.549546667000001</v>
      </c>
      <c r="D15" s="16" t="s">
        <v>6</v>
      </c>
      <c r="E15">
        <f t="shared" si="0"/>
        <v>1</v>
      </c>
      <c r="F15" s="27">
        <v>3</v>
      </c>
      <c r="G15" s="20"/>
      <c r="H15" s="20">
        <v>1</v>
      </c>
      <c r="I15" s="28"/>
    </row>
    <row r="16" spans="1:9" ht="16.5" thickBot="1" x14ac:dyDescent="0.3">
      <c r="A16" s="6" t="s">
        <v>19</v>
      </c>
      <c r="B16" s="35">
        <v>6.3039116670000004</v>
      </c>
      <c r="C16" s="36">
        <v>-75.551490000000001</v>
      </c>
      <c r="D16" s="15" t="s">
        <v>6</v>
      </c>
      <c r="E16">
        <f t="shared" si="0"/>
        <v>1</v>
      </c>
      <c r="F16" s="27">
        <v>3</v>
      </c>
      <c r="G16" s="20"/>
      <c r="H16" s="20"/>
      <c r="I16" s="28"/>
    </row>
    <row r="17" spans="1:20" x14ac:dyDescent="0.25">
      <c r="A17" s="30" t="s">
        <v>20</v>
      </c>
      <c r="B17" s="8">
        <v>6.3062683330000002</v>
      </c>
      <c r="C17" s="37">
        <v>-75.552395000000004</v>
      </c>
      <c r="D17" s="18" t="s">
        <v>6</v>
      </c>
      <c r="E17">
        <f t="shared" si="0"/>
        <v>1</v>
      </c>
      <c r="F17" s="27"/>
      <c r="G17" s="20"/>
      <c r="H17" s="20">
        <v>5</v>
      </c>
      <c r="I17" s="28"/>
    </row>
    <row r="18" spans="1:20" ht="16.5" thickBot="1" x14ac:dyDescent="0.3">
      <c r="A18" s="10" t="s">
        <v>21</v>
      </c>
      <c r="B18" s="38">
        <v>6.3046249999999997</v>
      </c>
      <c r="C18" s="39">
        <v>-75.55444</v>
      </c>
      <c r="D18" s="16" t="s">
        <v>6</v>
      </c>
      <c r="E18">
        <f t="shared" si="0"/>
        <v>0.66666666666666663</v>
      </c>
      <c r="F18" s="27">
        <v>1</v>
      </c>
      <c r="G18" s="20">
        <v>1</v>
      </c>
      <c r="H18" s="20">
        <v>1</v>
      </c>
      <c r="I18" s="28"/>
    </row>
    <row r="19" spans="1:20" ht="16.5" thickBot="1" x14ac:dyDescent="0.3">
      <c r="A19" s="11" t="s">
        <v>22</v>
      </c>
      <c r="B19" s="38">
        <v>6.3006716669999996</v>
      </c>
      <c r="C19" s="39">
        <v>-75.551370000000006</v>
      </c>
      <c r="D19" s="19"/>
      <c r="E19">
        <f t="shared" si="0"/>
        <v>0.33333333333333331</v>
      </c>
      <c r="F19" s="3">
        <v>1</v>
      </c>
      <c r="G19" s="4">
        <v>2</v>
      </c>
      <c r="H19" s="4"/>
      <c r="I19" s="5"/>
    </row>
    <row r="20" spans="1:20" ht="15.75" customHeight="1" x14ac:dyDescent="0.25">
      <c r="E20" s="232"/>
    </row>
    <row r="21" spans="1:20" ht="15.75" customHeight="1" x14ac:dyDescent="0.25">
      <c r="B21" t="s">
        <v>23</v>
      </c>
      <c r="H21" t="s">
        <v>24</v>
      </c>
      <c r="K21">
        <v>15</v>
      </c>
      <c r="N21" s="234" t="s">
        <v>33</v>
      </c>
      <c r="O21" s="234"/>
      <c r="P21" s="234"/>
      <c r="Q21" s="234"/>
      <c r="R21" s="234"/>
      <c r="T21">
        <v>23</v>
      </c>
    </row>
    <row r="22" spans="1:20" ht="15.75" customHeight="1" x14ac:dyDescent="0.25">
      <c r="B22" s="234" t="s">
        <v>25</v>
      </c>
      <c r="C22" s="234"/>
      <c r="D22" s="234"/>
      <c r="E22" s="13"/>
      <c r="H22" t="s">
        <v>26</v>
      </c>
      <c r="K22">
        <v>29</v>
      </c>
      <c r="N22" s="234" t="s">
        <v>35</v>
      </c>
      <c r="O22" s="234"/>
      <c r="P22" s="234"/>
      <c r="Q22" s="234"/>
      <c r="R22" s="234"/>
      <c r="T22">
        <v>5</v>
      </c>
    </row>
    <row r="23" spans="1:20" ht="15.75" customHeight="1" x14ac:dyDescent="0.25">
      <c r="B23" s="234" t="s">
        <v>27</v>
      </c>
      <c r="C23" s="234"/>
      <c r="D23" s="234"/>
      <c r="E23" s="13"/>
      <c r="H23" t="s">
        <v>28</v>
      </c>
      <c r="K23">
        <v>6</v>
      </c>
      <c r="N23" t="s">
        <v>38</v>
      </c>
      <c r="T23">
        <v>18</v>
      </c>
    </row>
    <row r="24" spans="1:20" ht="15.75" customHeight="1" x14ac:dyDescent="0.25">
      <c r="B24" s="234" t="s">
        <v>29</v>
      </c>
      <c r="C24" s="234"/>
      <c r="D24" s="234"/>
      <c r="E24" s="13"/>
      <c r="H24" t="s">
        <v>31</v>
      </c>
      <c r="K24">
        <v>18</v>
      </c>
      <c r="N24" t="s">
        <v>41</v>
      </c>
    </row>
    <row r="25" spans="1:20" ht="15.75" customHeight="1" x14ac:dyDescent="0.25">
      <c r="B25" s="235"/>
      <c r="C25" s="235"/>
      <c r="H25" s="235" t="s">
        <v>32</v>
      </c>
      <c r="I25" s="235"/>
      <c r="J25" s="235"/>
      <c r="K25">
        <v>7</v>
      </c>
      <c r="N25" t="s">
        <v>43</v>
      </c>
      <c r="T25">
        <v>6</v>
      </c>
    </row>
    <row r="26" spans="1:20" ht="15.75" customHeight="1" x14ac:dyDescent="0.25">
      <c r="H26" s="235" t="s">
        <v>34</v>
      </c>
      <c r="I26" s="235"/>
      <c r="J26" s="235"/>
      <c r="K26">
        <v>22</v>
      </c>
      <c r="N26" t="s">
        <v>45</v>
      </c>
      <c r="T26">
        <v>0</v>
      </c>
    </row>
    <row r="27" spans="1:20" ht="15.75" customHeight="1" x14ac:dyDescent="0.25">
      <c r="B27" s="234" t="s">
        <v>36</v>
      </c>
      <c r="C27" s="234"/>
      <c r="D27" s="234"/>
      <c r="E27" s="13"/>
      <c r="H27" t="s">
        <v>37</v>
      </c>
      <c r="K27">
        <v>15</v>
      </c>
    </row>
    <row r="28" spans="1:20" ht="15.75" customHeight="1" x14ac:dyDescent="0.25">
      <c r="B28" s="234" t="s">
        <v>39</v>
      </c>
      <c r="C28" s="234"/>
      <c r="D28" s="234"/>
      <c r="E28" s="13"/>
      <c r="H28" s="235" t="s">
        <v>40</v>
      </c>
      <c r="I28" s="235"/>
      <c r="J28" s="235"/>
      <c r="K28">
        <v>3</v>
      </c>
    </row>
    <row r="29" spans="1:20" ht="15.75" customHeight="1" x14ac:dyDescent="0.25">
      <c r="H29" t="s">
        <v>42</v>
      </c>
      <c r="K29">
        <v>1</v>
      </c>
    </row>
    <row r="30" spans="1:20" ht="15.75" customHeight="1" x14ac:dyDescent="0.25">
      <c r="H30" s="235" t="s">
        <v>44</v>
      </c>
      <c r="I30" s="235"/>
      <c r="J30" s="235"/>
      <c r="K30">
        <v>5</v>
      </c>
    </row>
    <row r="31" spans="1:20" ht="15.75" customHeight="1" x14ac:dyDescent="0.25"/>
    <row r="32" spans="1:20" ht="15.75" customHeight="1" x14ac:dyDescent="0.25"/>
    <row r="33" spans="1:1" ht="15.75" customHeight="1" x14ac:dyDescent="0.25"/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>
      <c r="A42" t="s">
        <v>46</v>
      </c>
    </row>
    <row r="43" spans="1:1" ht="15.75" customHeight="1" x14ac:dyDescent="0.25">
      <c r="A43" t="s">
        <v>47</v>
      </c>
    </row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mergeCells count="17">
    <mergeCell ref="A2:A3"/>
    <mergeCell ref="H30:J30"/>
    <mergeCell ref="F1:I1"/>
    <mergeCell ref="F2:I2"/>
    <mergeCell ref="B2:C2"/>
    <mergeCell ref="D2:D3"/>
    <mergeCell ref="N21:R21"/>
    <mergeCell ref="H26:J26"/>
    <mergeCell ref="N22:R22"/>
    <mergeCell ref="B27:D27"/>
    <mergeCell ref="B28:D28"/>
    <mergeCell ref="H28:J28"/>
    <mergeCell ref="B22:D22"/>
    <mergeCell ref="B23:D23"/>
    <mergeCell ref="B24:D24"/>
    <mergeCell ref="B25:C25"/>
    <mergeCell ref="H25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2"/>
  <sheetViews>
    <sheetView zoomScale="70" zoomScaleNormal="70" zoomScaleSheetLayoutView="80" workbookViewId="0">
      <selection activeCell="N15" sqref="N15"/>
    </sheetView>
  </sheetViews>
  <sheetFormatPr defaultColWidth="11" defaultRowHeight="15.75" x14ac:dyDescent="0.25"/>
  <cols>
    <col min="2" max="2" width="9.625" customWidth="1"/>
    <col min="3" max="3" width="9.125" customWidth="1"/>
    <col min="4" max="5" width="11.75" customWidth="1"/>
    <col min="6" max="6" width="8.125" customWidth="1"/>
    <col min="7" max="7" width="9.75" customWidth="1"/>
    <col min="8" max="10" width="7" customWidth="1"/>
    <col min="11" max="11" width="7.375" customWidth="1"/>
    <col min="12" max="12" width="3.5" customWidth="1"/>
    <col min="13" max="13" width="4" customWidth="1"/>
    <col min="14" max="14" width="11.125" customWidth="1"/>
    <col min="15" max="18" width="3.125" customWidth="1"/>
    <col min="19" max="19" width="3" customWidth="1"/>
    <col min="20" max="20" width="3.5" customWidth="1"/>
    <col min="21" max="21" width="3.375" customWidth="1"/>
    <col min="22" max="22" width="3.5" customWidth="1"/>
    <col min="23" max="23" width="3.625" customWidth="1"/>
    <col min="24" max="24" width="4.375" customWidth="1"/>
    <col min="25" max="26" width="3.625" customWidth="1"/>
    <col min="27" max="27" width="3.75" customWidth="1"/>
    <col min="28" max="30" width="4.75" customWidth="1"/>
    <col min="31" max="31" width="7.625" style="2" customWidth="1"/>
    <col min="32" max="32" width="4.5" style="2" customWidth="1"/>
    <col min="33" max="33" width="4.625" style="2" customWidth="1"/>
    <col min="34" max="34" width="3.75" style="2" customWidth="1"/>
  </cols>
  <sheetData>
    <row r="1" spans="1:34" ht="15" customHeight="1" thickBot="1" x14ac:dyDescent="0.3">
      <c r="A1" s="40"/>
      <c r="B1" s="61"/>
      <c r="C1" s="61"/>
      <c r="D1" s="57" t="s">
        <v>0</v>
      </c>
      <c r="E1" s="233"/>
      <c r="F1" s="252"/>
      <c r="G1" s="252"/>
      <c r="H1" s="252"/>
      <c r="I1" s="253"/>
      <c r="AE1"/>
      <c r="AF1"/>
      <c r="AG1"/>
      <c r="AH1"/>
    </row>
    <row r="2" spans="1:34" ht="15.75" customHeight="1" thickBot="1" x14ac:dyDescent="0.3">
      <c r="A2" s="249" t="s">
        <v>1</v>
      </c>
      <c r="B2" s="254" t="s">
        <v>52</v>
      </c>
      <c r="C2" s="255"/>
      <c r="D2" s="251" t="s">
        <v>2</v>
      </c>
      <c r="F2" s="247" t="s">
        <v>3</v>
      </c>
      <c r="G2" s="247"/>
      <c r="H2" s="247"/>
      <c r="I2" s="248"/>
      <c r="AE2"/>
      <c r="AF2"/>
      <c r="AG2"/>
      <c r="AH2"/>
    </row>
    <row r="3" spans="1:34" ht="17.100000000000001" customHeight="1" thickBot="1" x14ac:dyDescent="0.3">
      <c r="A3" s="250"/>
      <c r="B3" s="74" t="s">
        <v>53</v>
      </c>
      <c r="C3" s="75" t="s">
        <v>54</v>
      </c>
      <c r="D3" s="251"/>
      <c r="F3" s="58" t="s">
        <v>56</v>
      </c>
      <c r="G3" s="41" t="s">
        <v>57</v>
      </c>
      <c r="H3" s="42" t="s">
        <v>50</v>
      </c>
      <c r="I3" s="43" t="s">
        <v>51</v>
      </c>
      <c r="AE3"/>
      <c r="AF3"/>
      <c r="AG3"/>
      <c r="AH3"/>
    </row>
    <row r="4" spans="1:34" ht="16.5" thickBot="1" x14ac:dyDescent="0.3">
      <c r="A4" s="44" t="s">
        <v>58</v>
      </c>
      <c r="B4" s="33">
        <v>6.3077433330000003</v>
      </c>
      <c r="C4" s="34">
        <v>-75.558141667000001</v>
      </c>
      <c r="D4" s="63"/>
      <c r="E4">
        <f>(F4+H4)/(SUM(F4:I4))</f>
        <v>1</v>
      </c>
      <c r="F4" s="59">
        <v>2</v>
      </c>
      <c r="G4" s="45"/>
      <c r="H4" s="45"/>
      <c r="I4" s="46"/>
      <c r="AE4"/>
      <c r="AF4"/>
      <c r="AG4"/>
      <c r="AH4"/>
    </row>
    <row r="5" spans="1:34" ht="16.5" thickBot="1" x14ac:dyDescent="0.3">
      <c r="A5" s="47" t="s">
        <v>59</v>
      </c>
      <c r="B5" s="8">
        <v>6.3040950000000002</v>
      </c>
      <c r="C5" s="37">
        <v>-75.559179999999998</v>
      </c>
      <c r="D5" s="64" t="s">
        <v>6</v>
      </c>
      <c r="E5">
        <f t="shared" ref="E5:E34" si="0">(F5+H5)/(SUM(F5:I5))</f>
        <v>1</v>
      </c>
      <c r="F5" s="59">
        <v>2</v>
      </c>
      <c r="G5" s="45"/>
      <c r="H5" s="45">
        <v>2</v>
      </c>
      <c r="I5" s="46"/>
      <c r="AE5"/>
      <c r="AF5"/>
      <c r="AG5"/>
      <c r="AH5"/>
    </row>
    <row r="6" spans="1:34" ht="15.75" customHeight="1" thickBot="1" x14ac:dyDescent="0.3">
      <c r="A6" s="49" t="s">
        <v>60</v>
      </c>
      <c r="B6" s="8">
        <v>6.3002250000000002</v>
      </c>
      <c r="C6" s="37">
        <v>-75.559841667000001</v>
      </c>
      <c r="D6" s="65" t="s">
        <v>6</v>
      </c>
      <c r="E6">
        <f t="shared" si="0"/>
        <v>1</v>
      </c>
      <c r="F6" s="59">
        <v>4</v>
      </c>
      <c r="G6" s="45"/>
      <c r="H6" s="45">
        <v>1</v>
      </c>
      <c r="I6" s="46"/>
      <c r="AE6"/>
      <c r="AF6"/>
      <c r="AG6"/>
      <c r="AH6"/>
    </row>
    <row r="7" spans="1:34" ht="15.75" customHeight="1" x14ac:dyDescent="0.25">
      <c r="A7" s="62" t="s">
        <v>61</v>
      </c>
      <c r="B7" s="8">
        <v>6.3058933330000002</v>
      </c>
      <c r="C7" s="37">
        <v>-75.563685000000007</v>
      </c>
      <c r="D7" s="66" t="s">
        <v>6</v>
      </c>
      <c r="E7">
        <f t="shared" si="0"/>
        <v>0.75</v>
      </c>
      <c r="F7" s="59">
        <v>3</v>
      </c>
      <c r="G7" s="45">
        <v>1</v>
      </c>
      <c r="H7" s="45"/>
      <c r="I7" s="46"/>
      <c r="AE7"/>
      <c r="AF7"/>
      <c r="AG7"/>
      <c r="AH7"/>
    </row>
    <row r="8" spans="1:34" ht="15.75" customHeight="1" thickBot="1" x14ac:dyDescent="0.3">
      <c r="A8" s="50" t="s">
        <v>62</v>
      </c>
      <c r="B8" s="8">
        <v>6.3063183330000001</v>
      </c>
      <c r="C8" s="37">
        <v>-75.566239999999993</v>
      </c>
      <c r="D8" s="64" t="s">
        <v>6</v>
      </c>
      <c r="E8">
        <f t="shared" si="0"/>
        <v>1</v>
      </c>
      <c r="F8" s="59">
        <v>2</v>
      </c>
      <c r="G8" s="45"/>
      <c r="H8" s="45"/>
      <c r="I8" s="46"/>
      <c r="AE8"/>
      <c r="AF8"/>
      <c r="AG8"/>
      <c r="AH8"/>
    </row>
    <row r="9" spans="1:34" ht="15.75" customHeight="1" thickBot="1" x14ac:dyDescent="0.3">
      <c r="A9" s="51" t="s">
        <v>63</v>
      </c>
      <c r="B9" s="8">
        <v>6.3088449999999998</v>
      </c>
      <c r="C9" s="37">
        <v>-75.565740000000005</v>
      </c>
      <c r="D9" s="65" t="s">
        <v>6</v>
      </c>
      <c r="E9">
        <f t="shared" si="0"/>
        <v>1</v>
      </c>
      <c r="F9" s="59"/>
      <c r="G9" s="45"/>
      <c r="H9" s="45">
        <v>5</v>
      </c>
      <c r="I9" s="46"/>
      <c r="AE9"/>
      <c r="AF9"/>
      <c r="AG9"/>
      <c r="AH9"/>
    </row>
    <row r="10" spans="1:34" ht="15.75" customHeight="1" thickBot="1" x14ac:dyDescent="0.3">
      <c r="A10" s="52" t="s">
        <v>64</v>
      </c>
      <c r="B10" s="8">
        <v>6.3102400000000003</v>
      </c>
      <c r="C10" s="37">
        <v>-75.566973333000007</v>
      </c>
      <c r="D10" s="67"/>
      <c r="E10">
        <f t="shared" si="0"/>
        <v>1</v>
      </c>
      <c r="F10" s="59">
        <v>2</v>
      </c>
      <c r="G10" s="45"/>
      <c r="H10" s="45">
        <v>1</v>
      </c>
      <c r="I10" s="46"/>
      <c r="AE10"/>
      <c r="AF10"/>
      <c r="AG10"/>
      <c r="AH10"/>
    </row>
    <row r="11" spans="1:34" ht="15.75" customHeight="1" thickBot="1" x14ac:dyDescent="0.3">
      <c r="A11" s="53" t="s">
        <v>65</v>
      </c>
      <c r="B11" s="8">
        <v>6.3111516669999999</v>
      </c>
      <c r="C11" s="37">
        <v>-75.568650000000005</v>
      </c>
      <c r="D11" s="68" t="s">
        <v>6</v>
      </c>
      <c r="E11">
        <f t="shared" si="0"/>
        <v>1</v>
      </c>
      <c r="F11" s="59">
        <v>2</v>
      </c>
      <c r="G11" s="45"/>
      <c r="H11" s="45">
        <v>1</v>
      </c>
      <c r="I11" s="46"/>
      <c r="AE11"/>
      <c r="AF11"/>
      <c r="AG11"/>
      <c r="AH11"/>
    </row>
    <row r="12" spans="1:34" ht="15.75" customHeight="1" thickBot="1" x14ac:dyDescent="0.3">
      <c r="A12" s="62" t="s">
        <v>66</v>
      </c>
      <c r="B12" s="8">
        <v>6.3096933330000002</v>
      </c>
      <c r="C12" s="37">
        <v>-75.570666666999998</v>
      </c>
      <c r="D12" s="66" t="s">
        <v>6</v>
      </c>
      <c r="E12">
        <f t="shared" si="0"/>
        <v>1</v>
      </c>
      <c r="F12" s="59"/>
      <c r="G12" s="45"/>
      <c r="H12" s="45">
        <v>1</v>
      </c>
      <c r="I12" s="46"/>
      <c r="AE12"/>
      <c r="AF12"/>
      <c r="AG12"/>
      <c r="AH12"/>
    </row>
    <row r="13" spans="1:34" ht="15.75" customHeight="1" thickBot="1" x14ac:dyDescent="0.3">
      <c r="A13" s="221" t="s">
        <v>67</v>
      </c>
      <c r="B13" s="8">
        <v>6.3041266670000002</v>
      </c>
      <c r="C13" s="37">
        <v>-75.568881666999999</v>
      </c>
      <c r="D13" s="69" t="s">
        <v>6</v>
      </c>
      <c r="E13">
        <f t="shared" si="0"/>
        <v>1</v>
      </c>
      <c r="F13" s="59">
        <v>1</v>
      </c>
      <c r="G13" s="45"/>
      <c r="H13" s="45"/>
      <c r="I13" s="46"/>
      <c r="AE13"/>
      <c r="AF13"/>
      <c r="AG13"/>
      <c r="AH13"/>
    </row>
    <row r="14" spans="1:34" ht="15.75" customHeight="1" thickBot="1" x14ac:dyDescent="0.3">
      <c r="A14" s="47" t="s">
        <v>68</v>
      </c>
      <c r="B14" s="8">
        <v>6.3029216669999997</v>
      </c>
      <c r="C14" s="37">
        <v>-75.565431666999999</v>
      </c>
      <c r="D14" s="64" t="s">
        <v>6</v>
      </c>
      <c r="E14" t="e">
        <f t="shared" si="0"/>
        <v>#DIV/0!</v>
      </c>
      <c r="F14" s="59"/>
      <c r="G14" s="45"/>
      <c r="H14" s="45"/>
      <c r="I14" s="46"/>
      <c r="AE14"/>
      <c r="AF14"/>
      <c r="AG14"/>
      <c r="AH14"/>
    </row>
    <row r="15" spans="1:34" ht="15.75" customHeight="1" thickBot="1" x14ac:dyDescent="0.3">
      <c r="A15" s="221" t="s">
        <v>69</v>
      </c>
      <c r="B15" s="8">
        <v>6.2989233330000003</v>
      </c>
      <c r="C15" s="37">
        <v>-75.570246667000006</v>
      </c>
      <c r="D15" s="66" t="s">
        <v>6</v>
      </c>
      <c r="E15" t="e">
        <f t="shared" si="0"/>
        <v>#DIV/0!</v>
      </c>
      <c r="F15" s="59"/>
      <c r="G15" s="45"/>
      <c r="H15" s="45"/>
      <c r="I15" s="46"/>
      <c r="AE15"/>
      <c r="AF15"/>
      <c r="AG15"/>
      <c r="AH15"/>
    </row>
    <row r="16" spans="1:34" ht="15.75" customHeight="1" thickBot="1" x14ac:dyDescent="0.3">
      <c r="A16" s="47" t="s">
        <v>70</v>
      </c>
      <c r="B16" s="8">
        <v>6.2958283330000002</v>
      </c>
      <c r="C16" s="37">
        <v>-75.571191666999994</v>
      </c>
      <c r="D16" s="64" t="s">
        <v>6</v>
      </c>
      <c r="E16">
        <f t="shared" si="0"/>
        <v>0.75</v>
      </c>
      <c r="F16" s="59">
        <v>3</v>
      </c>
      <c r="G16" s="45">
        <v>1</v>
      </c>
      <c r="H16" s="45"/>
      <c r="I16" s="46"/>
      <c r="AE16"/>
      <c r="AF16"/>
      <c r="AG16"/>
      <c r="AH16"/>
    </row>
    <row r="17" spans="1:34" ht="15.75" customHeight="1" thickBot="1" x14ac:dyDescent="0.3">
      <c r="A17" s="49" t="s">
        <v>71</v>
      </c>
      <c r="B17" s="8">
        <v>6.2968533329999996</v>
      </c>
      <c r="C17" s="37">
        <v>-75.569483332999994</v>
      </c>
      <c r="D17" s="65" t="s">
        <v>6</v>
      </c>
      <c r="E17">
        <f t="shared" si="0"/>
        <v>1</v>
      </c>
      <c r="F17" s="59">
        <v>2</v>
      </c>
      <c r="G17" s="45"/>
      <c r="H17" s="45"/>
      <c r="I17" s="46"/>
      <c r="AE17"/>
      <c r="AF17"/>
      <c r="AG17"/>
      <c r="AH17"/>
    </row>
    <row r="18" spans="1:34" ht="15.75" customHeight="1" thickBot="1" x14ac:dyDescent="0.3">
      <c r="A18" s="47" t="s">
        <v>72</v>
      </c>
      <c r="B18" s="8">
        <v>6.29908</v>
      </c>
      <c r="C18" s="37">
        <v>-75.567631667000001</v>
      </c>
      <c r="D18" s="64" t="s">
        <v>6</v>
      </c>
      <c r="E18">
        <f t="shared" si="0"/>
        <v>1</v>
      </c>
      <c r="F18" s="59">
        <v>2</v>
      </c>
      <c r="G18" s="45"/>
      <c r="H18" s="45">
        <v>1</v>
      </c>
      <c r="I18" s="46"/>
      <c r="AE18"/>
      <c r="AF18"/>
      <c r="AG18"/>
      <c r="AH18"/>
    </row>
    <row r="19" spans="1:34" ht="15.75" customHeight="1" thickBot="1" x14ac:dyDescent="0.3">
      <c r="A19" s="221" t="s">
        <v>73</v>
      </c>
      <c r="B19" s="8">
        <v>6.2966216670000001</v>
      </c>
      <c r="C19" s="37">
        <v>-75.566006666999996</v>
      </c>
      <c r="D19" s="68" t="s">
        <v>6</v>
      </c>
      <c r="E19">
        <f t="shared" si="0"/>
        <v>0.5</v>
      </c>
      <c r="F19" s="59">
        <v>1</v>
      </c>
      <c r="G19" s="45"/>
      <c r="H19" s="45"/>
      <c r="I19" s="46">
        <v>1</v>
      </c>
      <c r="AE19"/>
      <c r="AF19"/>
      <c r="AG19"/>
      <c r="AH19"/>
    </row>
    <row r="20" spans="1:34" ht="15.75" customHeight="1" thickBot="1" x14ac:dyDescent="0.3">
      <c r="A20" s="47" t="s">
        <v>74</v>
      </c>
      <c r="B20" s="8">
        <v>6.2934433329999999</v>
      </c>
      <c r="C20" s="37">
        <v>-75.565876666999998</v>
      </c>
      <c r="D20" s="64" t="s">
        <v>6</v>
      </c>
      <c r="E20" t="e">
        <f t="shared" si="0"/>
        <v>#DIV/0!</v>
      </c>
      <c r="F20" s="59"/>
      <c r="G20" s="45"/>
      <c r="H20" s="45"/>
      <c r="I20" s="46"/>
      <c r="AE20"/>
      <c r="AF20"/>
      <c r="AG20"/>
      <c r="AH20"/>
    </row>
    <row r="21" spans="1:34" ht="15.75" customHeight="1" thickBot="1" x14ac:dyDescent="0.3">
      <c r="A21" s="49" t="s">
        <v>75</v>
      </c>
      <c r="B21" s="8">
        <v>6.2903383330000002</v>
      </c>
      <c r="C21" s="37">
        <v>-75.566106667</v>
      </c>
      <c r="D21" s="65" t="s">
        <v>6</v>
      </c>
      <c r="E21">
        <f t="shared" si="0"/>
        <v>1</v>
      </c>
      <c r="F21" s="59">
        <v>1</v>
      </c>
      <c r="G21" s="45"/>
      <c r="H21" s="45">
        <v>1</v>
      </c>
      <c r="I21" s="46"/>
      <c r="AE21"/>
      <c r="AF21"/>
      <c r="AG21"/>
      <c r="AH21"/>
    </row>
    <row r="22" spans="1:34" ht="15.75" customHeight="1" thickBot="1" x14ac:dyDescent="0.3">
      <c r="A22" s="47" t="s">
        <v>76</v>
      </c>
      <c r="B22" s="8">
        <v>6.2906283329999999</v>
      </c>
      <c r="C22" s="37">
        <v>-75.570189999999997</v>
      </c>
      <c r="D22" s="64" t="s">
        <v>6</v>
      </c>
      <c r="E22">
        <f t="shared" si="0"/>
        <v>1</v>
      </c>
      <c r="F22" s="59">
        <v>2</v>
      </c>
      <c r="G22" s="45"/>
      <c r="H22" s="45">
        <v>2</v>
      </c>
      <c r="I22" s="46"/>
      <c r="AE22"/>
      <c r="AF22"/>
      <c r="AG22"/>
      <c r="AH22"/>
    </row>
    <row r="23" spans="1:34" ht="15.75" customHeight="1" thickBot="1" x14ac:dyDescent="0.3">
      <c r="A23" s="49" t="s">
        <v>77</v>
      </c>
      <c r="B23" s="8">
        <v>6.3092516669999998</v>
      </c>
      <c r="C23" s="37">
        <v>-75.562713333000005</v>
      </c>
      <c r="D23" s="65" t="s">
        <v>6</v>
      </c>
      <c r="E23">
        <f t="shared" si="0"/>
        <v>1</v>
      </c>
      <c r="F23" s="59">
        <v>1</v>
      </c>
      <c r="G23" s="45"/>
      <c r="H23" s="45">
        <v>2</v>
      </c>
      <c r="I23" s="46"/>
      <c r="AE23"/>
      <c r="AF23"/>
      <c r="AG23"/>
      <c r="AH23"/>
    </row>
    <row r="24" spans="1:34" ht="15.75" customHeight="1" thickBot="1" x14ac:dyDescent="0.3">
      <c r="A24" s="47" t="s">
        <v>78</v>
      </c>
      <c r="B24" s="8">
        <v>6.2853599999999998</v>
      </c>
      <c r="C24" s="37">
        <v>-75.577879999999993</v>
      </c>
      <c r="D24" s="64" t="s">
        <v>6</v>
      </c>
      <c r="E24">
        <f t="shared" si="0"/>
        <v>1</v>
      </c>
      <c r="F24" s="59">
        <v>3</v>
      </c>
      <c r="G24" s="45"/>
      <c r="H24" s="45"/>
      <c r="I24" s="46"/>
      <c r="AE24"/>
      <c r="AF24"/>
      <c r="AG24"/>
      <c r="AH24"/>
    </row>
    <row r="25" spans="1:34" ht="15.75" customHeight="1" thickBot="1" x14ac:dyDescent="0.3">
      <c r="A25" s="49" t="s">
        <v>79</v>
      </c>
      <c r="B25" s="8">
        <v>6.2839316670000001</v>
      </c>
      <c r="C25" s="37">
        <v>-75.575744999999998</v>
      </c>
      <c r="D25" s="65" t="s">
        <v>6</v>
      </c>
      <c r="E25" t="e">
        <f t="shared" si="0"/>
        <v>#DIV/0!</v>
      </c>
      <c r="F25" s="59"/>
      <c r="G25" s="45"/>
      <c r="H25" s="45"/>
      <c r="I25" s="46"/>
      <c r="AE25"/>
      <c r="AF25"/>
      <c r="AG25"/>
      <c r="AH25"/>
    </row>
    <row r="26" spans="1:34" ht="15.75" customHeight="1" thickBot="1" x14ac:dyDescent="0.3">
      <c r="A26" s="47" t="s">
        <v>80</v>
      </c>
      <c r="B26" s="8">
        <v>6.2827616669999999</v>
      </c>
      <c r="C26" s="37">
        <v>-75.573390000000003</v>
      </c>
      <c r="D26" s="64" t="s">
        <v>6</v>
      </c>
      <c r="E26" t="e">
        <f t="shared" si="0"/>
        <v>#DIV/0!</v>
      </c>
      <c r="F26" s="59"/>
      <c r="G26" s="45"/>
      <c r="H26" s="45"/>
      <c r="I26" s="46"/>
      <c r="AE26"/>
      <c r="AF26"/>
      <c r="AG26"/>
      <c r="AH26"/>
    </row>
    <row r="27" spans="1:34" ht="15.75" customHeight="1" thickBot="1" x14ac:dyDescent="0.3">
      <c r="A27" s="49" t="s">
        <v>81</v>
      </c>
      <c r="B27" s="8">
        <v>6.2856866670000002</v>
      </c>
      <c r="C27" s="37">
        <v>-75.573400000000007</v>
      </c>
      <c r="D27" s="65" t="s">
        <v>6</v>
      </c>
      <c r="E27">
        <f t="shared" si="0"/>
        <v>1</v>
      </c>
      <c r="F27" s="59"/>
      <c r="G27" s="45"/>
      <c r="H27" s="45">
        <v>1</v>
      </c>
      <c r="I27" s="46"/>
      <c r="AE27"/>
      <c r="AF27"/>
      <c r="AG27"/>
      <c r="AH27"/>
    </row>
    <row r="28" spans="1:34" ht="15.75" customHeight="1" thickBot="1" x14ac:dyDescent="0.3">
      <c r="A28" s="47" t="s">
        <v>82</v>
      </c>
      <c r="B28" s="8">
        <v>6.2876283329999998</v>
      </c>
      <c r="C28" s="37">
        <v>-75.571719999999999</v>
      </c>
      <c r="D28" s="64" t="s">
        <v>6</v>
      </c>
      <c r="E28" t="e">
        <f t="shared" si="0"/>
        <v>#DIV/0!</v>
      </c>
      <c r="F28" s="59"/>
      <c r="G28" s="45"/>
      <c r="H28" s="45"/>
      <c r="I28" s="46"/>
      <c r="AE28"/>
      <c r="AF28"/>
      <c r="AG28"/>
      <c r="AH28"/>
    </row>
    <row r="29" spans="1:34" ht="15.75" customHeight="1" thickBot="1" x14ac:dyDescent="0.3">
      <c r="A29" s="49" t="s">
        <v>83</v>
      </c>
      <c r="B29" s="8">
        <v>6.2883449999999996</v>
      </c>
      <c r="C29" s="37">
        <v>-75.571521666999999</v>
      </c>
      <c r="D29" s="65" t="s">
        <v>6</v>
      </c>
      <c r="E29">
        <f t="shared" si="0"/>
        <v>1</v>
      </c>
      <c r="F29" s="59">
        <v>3</v>
      </c>
      <c r="G29" s="45"/>
      <c r="H29" s="45"/>
      <c r="I29" s="46"/>
      <c r="AE29"/>
      <c r="AF29"/>
      <c r="AG29"/>
      <c r="AH29"/>
    </row>
    <row r="30" spans="1:34" ht="16.5" thickBot="1" x14ac:dyDescent="0.3">
      <c r="A30" s="47" t="s">
        <v>84</v>
      </c>
      <c r="B30" s="8">
        <v>6.2890116669999996</v>
      </c>
      <c r="C30" s="37">
        <v>-75.574028333000001</v>
      </c>
      <c r="D30" s="70"/>
      <c r="E30">
        <f t="shared" si="0"/>
        <v>1</v>
      </c>
      <c r="F30" s="59">
        <v>1</v>
      </c>
      <c r="G30" s="45"/>
      <c r="H30" s="45">
        <v>1</v>
      </c>
      <c r="I30" s="46"/>
      <c r="AE30"/>
      <c r="AF30"/>
      <c r="AG30"/>
      <c r="AH30"/>
    </row>
    <row r="31" spans="1:34" ht="15.75" customHeight="1" thickBot="1" x14ac:dyDescent="0.3">
      <c r="A31" s="51" t="s">
        <v>85</v>
      </c>
      <c r="B31" s="8">
        <v>6.2925899999999997</v>
      </c>
      <c r="C31" s="37">
        <v>-75.573133333000001</v>
      </c>
      <c r="D31" s="65" t="s">
        <v>6</v>
      </c>
      <c r="E31">
        <f t="shared" si="0"/>
        <v>0.75</v>
      </c>
      <c r="F31" s="59">
        <v>3</v>
      </c>
      <c r="G31" s="45">
        <v>1</v>
      </c>
      <c r="H31" s="45"/>
      <c r="I31" s="46"/>
      <c r="AE31"/>
      <c r="AF31"/>
      <c r="AG31"/>
      <c r="AH31"/>
    </row>
    <row r="32" spans="1:34" ht="15.75" customHeight="1" thickBot="1" x14ac:dyDescent="0.3">
      <c r="A32" s="50" t="s">
        <v>86</v>
      </c>
      <c r="B32" s="8">
        <v>6.2925716669999998</v>
      </c>
      <c r="C32" s="37">
        <v>-75.570859999999996</v>
      </c>
      <c r="D32" s="64" t="s">
        <v>6</v>
      </c>
      <c r="E32">
        <f t="shared" si="0"/>
        <v>1</v>
      </c>
      <c r="F32" s="59">
        <v>2</v>
      </c>
      <c r="G32" s="45"/>
      <c r="H32" s="45">
        <v>1</v>
      </c>
      <c r="I32" s="46"/>
      <c r="AE32"/>
      <c r="AF32"/>
      <c r="AG32"/>
      <c r="AH32"/>
    </row>
    <row r="33" spans="1:34" ht="16.5" thickBot="1" x14ac:dyDescent="0.3">
      <c r="A33" s="49" t="s">
        <v>87</v>
      </c>
      <c r="B33" s="222">
        <v>62.748166670000003</v>
      </c>
      <c r="C33" s="28">
        <v>-75.573308333</v>
      </c>
      <c r="D33" s="65" t="s">
        <v>6</v>
      </c>
      <c r="E33">
        <f t="shared" si="0"/>
        <v>1</v>
      </c>
      <c r="F33" s="59">
        <v>1</v>
      </c>
      <c r="G33" s="45"/>
      <c r="H33" s="45">
        <v>2</v>
      </c>
      <c r="I33" s="46"/>
      <c r="AE33"/>
      <c r="AF33"/>
      <c r="AG33"/>
      <c r="AH33"/>
    </row>
    <row r="34" spans="1:34" ht="16.5" thickBot="1" x14ac:dyDescent="0.3">
      <c r="A34" s="223" t="s">
        <v>88</v>
      </c>
      <c r="B34" s="224">
        <v>62.740816670000001</v>
      </c>
      <c r="C34" s="5">
        <v>-75.573216666999997</v>
      </c>
      <c r="D34" s="71" t="s">
        <v>6</v>
      </c>
      <c r="E34" t="e">
        <f t="shared" si="0"/>
        <v>#DIV/0!</v>
      </c>
      <c r="F34" s="60"/>
      <c r="G34" s="55"/>
      <c r="H34" s="55"/>
      <c r="I34" s="56"/>
      <c r="AE34"/>
      <c r="AF34"/>
      <c r="AG34"/>
      <c r="AH34"/>
    </row>
    <row r="35" spans="1:34" x14ac:dyDescent="0.25">
      <c r="AC35" s="2"/>
      <c r="AD35" s="2"/>
    </row>
    <row r="37" spans="1:34" x14ac:dyDescent="0.25">
      <c r="G37" t="s">
        <v>89</v>
      </c>
      <c r="N37">
        <v>80</v>
      </c>
    </row>
    <row r="38" spans="1:34" x14ac:dyDescent="0.25">
      <c r="A38" t="s">
        <v>23</v>
      </c>
      <c r="D38">
        <v>28</v>
      </c>
      <c r="G38" s="234" t="s">
        <v>24</v>
      </c>
      <c r="H38" s="234"/>
      <c r="I38" s="234"/>
      <c r="J38" s="234"/>
      <c r="K38" s="234"/>
      <c r="L38" s="234"/>
      <c r="N38">
        <v>24</v>
      </c>
    </row>
    <row r="39" spans="1:34" x14ac:dyDescent="0.25">
      <c r="A39" s="234" t="s">
        <v>25</v>
      </c>
      <c r="B39" s="234"/>
      <c r="C39" s="234"/>
      <c r="D39">
        <v>28</v>
      </c>
      <c r="G39" s="234" t="s">
        <v>26</v>
      </c>
      <c r="H39" s="234"/>
      <c r="I39" s="234"/>
      <c r="J39" s="234"/>
      <c r="K39" s="234"/>
      <c r="L39" s="234"/>
      <c r="N39">
        <v>52</v>
      </c>
    </row>
    <row r="40" spans="1:34" x14ac:dyDescent="0.25">
      <c r="A40" s="234" t="s">
        <v>27</v>
      </c>
      <c r="B40" s="234"/>
      <c r="C40" s="234"/>
      <c r="D40">
        <v>0</v>
      </c>
      <c r="G40" s="234" t="s">
        <v>28</v>
      </c>
      <c r="H40" s="234"/>
      <c r="I40" s="234"/>
      <c r="J40" s="234"/>
      <c r="K40" s="234"/>
      <c r="L40" s="234"/>
    </row>
    <row r="41" spans="1:34" x14ac:dyDescent="0.25">
      <c r="A41" s="234" t="s">
        <v>29</v>
      </c>
      <c r="B41" s="234"/>
      <c r="C41" s="234"/>
      <c r="D41">
        <v>0</v>
      </c>
      <c r="G41" s="234" t="s">
        <v>31</v>
      </c>
      <c r="H41" s="234"/>
      <c r="I41" s="234"/>
      <c r="J41" s="234"/>
      <c r="K41" s="234"/>
      <c r="L41" s="234"/>
      <c r="N41">
        <v>28</v>
      </c>
    </row>
    <row r="42" spans="1:34" x14ac:dyDescent="0.25">
      <c r="A42" s="235"/>
      <c r="B42" s="235"/>
      <c r="G42" s="234" t="s">
        <v>32</v>
      </c>
      <c r="H42" s="234"/>
      <c r="I42" s="234"/>
      <c r="J42" s="234"/>
      <c r="K42" s="234"/>
      <c r="L42" s="234"/>
      <c r="N42">
        <v>20</v>
      </c>
      <c r="P42" s="13" t="s">
        <v>33</v>
      </c>
      <c r="Q42" s="13"/>
      <c r="R42" s="13"/>
      <c r="S42" s="13"/>
      <c r="T42" s="13"/>
      <c r="U42" s="13"/>
      <c r="V42" s="13"/>
      <c r="X42">
        <v>43</v>
      </c>
    </row>
    <row r="43" spans="1:34" x14ac:dyDescent="0.25">
      <c r="G43" s="234" t="s">
        <v>34</v>
      </c>
      <c r="H43" s="234"/>
      <c r="I43" s="234"/>
      <c r="J43" s="234"/>
      <c r="K43" s="234"/>
      <c r="L43" s="234"/>
      <c r="N43">
        <v>32</v>
      </c>
      <c r="P43" s="13" t="s">
        <v>35</v>
      </c>
      <c r="Q43" s="13"/>
      <c r="R43" s="13"/>
      <c r="S43" s="13"/>
      <c r="T43" s="13"/>
      <c r="U43" s="13"/>
      <c r="V43" s="13"/>
      <c r="X43">
        <v>3</v>
      </c>
    </row>
    <row r="44" spans="1:34" x14ac:dyDescent="0.25">
      <c r="A44" s="234" t="s">
        <v>36</v>
      </c>
      <c r="B44" s="234"/>
      <c r="C44" s="234"/>
      <c r="D44">
        <v>49</v>
      </c>
      <c r="G44" s="234" t="s">
        <v>37</v>
      </c>
      <c r="H44" s="234"/>
      <c r="I44" s="234"/>
      <c r="J44" s="234"/>
      <c r="K44" s="234"/>
      <c r="L44" s="234"/>
      <c r="N44">
        <v>22</v>
      </c>
      <c r="P44" s="234" t="s">
        <v>38</v>
      </c>
      <c r="Q44" s="234"/>
      <c r="R44" s="234"/>
      <c r="S44" s="234"/>
      <c r="T44" s="234"/>
      <c r="U44" s="234"/>
      <c r="V44" s="234"/>
      <c r="X44">
        <v>22</v>
      </c>
    </row>
    <row r="45" spans="1:34" x14ac:dyDescent="0.25">
      <c r="A45" s="234" t="s">
        <v>39</v>
      </c>
      <c r="B45" s="234"/>
      <c r="C45" s="234"/>
      <c r="D45">
        <v>36</v>
      </c>
      <c r="G45" s="234" t="s">
        <v>40</v>
      </c>
      <c r="H45" s="234"/>
      <c r="I45" s="234"/>
      <c r="J45" s="234"/>
      <c r="K45" s="234"/>
      <c r="L45" s="234"/>
      <c r="N45">
        <v>1</v>
      </c>
      <c r="P45" s="234" t="s">
        <v>41</v>
      </c>
      <c r="Q45" s="234"/>
      <c r="R45" s="234"/>
      <c r="S45" s="234"/>
      <c r="T45" s="234"/>
      <c r="U45" s="234"/>
      <c r="V45" s="234"/>
      <c r="X45">
        <v>1</v>
      </c>
    </row>
    <row r="46" spans="1:34" x14ac:dyDescent="0.25">
      <c r="G46" s="234" t="s">
        <v>42</v>
      </c>
      <c r="H46" s="234"/>
      <c r="I46" s="234"/>
      <c r="J46" s="234"/>
      <c r="K46" s="234"/>
      <c r="L46" s="234"/>
      <c r="P46" s="234" t="s">
        <v>43</v>
      </c>
      <c r="Q46" s="234"/>
      <c r="R46" s="234"/>
      <c r="S46" s="234"/>
      <c r="T46" s="234"/>
      <c r="U46" s="234"/>
      <c r="V46" s="234"/>
    </row>
    <row r="47" spans="1:34" x14ac:dyDescent="0.25">
      <c r="G47" s="234" t="s">
        <v>44</v>
      </c>
      <c r="H47" s="234"/>
      <c r="I47" s="234"/>
      <c r="J47" s="234"/>
      <c r="K47" s="234"/>
      <c r="L47" s="234"/>
      <c r="P47" s="234" t="s">
        <v>45</v>
      </c>
      <c r="Q47" s="234"/>
      <c r="R47" s="234"/>
      <c r="S47" s="234"/>
      <c r="T47" s="234"/>
      <c r="U47" s="234"/>
      <c r="V47" s="234"/>
    </row>
    <row r="62" ht="12" customHeight="1" x14ac:dyDescent="0.25"/>
  </sheetData>
  <mergeCells count="25">
    <mergeCell ref="F1:I1"/>
    <mergeCell ref="B2:C2"/>
    <mergeCell ref="P44:V44"/>
    <mergeCell ref="G45:L45"/>
    <mergeCell ref="P45:V45"/>
    <mergeCell ref="A41:C41"/>
    <mergeCell ref="G41:L41"/>
    <mergeCell ref="A42:B42"/>
    <mergeCell ref="G42:L42"/>
    <mergeCell ref="G43:L43"/>
    <mergeCell ref="A44:C44"/>
    <mergeCell ref="G44:L44"/>
    <mergeCell ref="G38:L38"/>
    <mergeCell ref="A39:C39"/>
    <mergeCell ref="G39:L39"/>
    <mergeCell ref="A40:C40"/>
    <mergeCell ref="G47:L47"/>
    <mergeCell ref="P47:V47"/>
    <mergeCell ref="A45:C45"/>
    <mergeCell ref="F2:I2"/>
    <mergeCell ref="G46:L46"/>
    <mergeCell ref="P46:V46"/>
    <mergeCell ref="G40:L40"/>
    <mergeCell ref="A2:A3"/>
    <mergeCell ref="D2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48"/>
  <sheetViews>
    <sheetView zoomScale="70" zoomScaleNormal="70" workbookViewId="0">
      <selection activeCell="E15" sqref="E15"/>
    </sheetView>
  </sheetViews>
  <sheetFormatPr defaultColWidth="11.125" defaultRowHeight="15.75" x14ac:dyDescent="0.25"/>
  <cols>
    <col min="1" max="1" width="7.5" style="54" customWidth="1"/>
    <col min="2" max="2" width="11.75" customWidth="1"/>
    <col min="3" max="3" width="12.625" customWidth="1"/>
    <col min="4" max="5" width="11.5" customWidth="1"/>
    <col min="6" max="6" width="4.625" customWidth="1"/>
    <col min="7" max="7" width="4.375" style="94" customWidth="1"/>
    <col min="8" max="9" width="7" customWidth="1"/>
    <col min="10" max="10" width="3.75" customWidth="1"/>
    <col min="11" max="11" width="4" customWidth="1"/>
    <col min="12" max="12" width="4.5" customWidth="1"/>
    <col min="13" max="13" width="9.75" customWidth="1"/>
    <col min="14" max="14" width="4.375" customWidth="1"/>
    <col min="15" max="15" width="4.125" customWidth="1"/>
    <col min="16" max="16" width="3.375" customWidth="1"/>
    <col min="17" max="20" width="3.75" customWidth="1"/>
    <col min="21" max="21" width="3.5" customWidth="1"/>
    <col min="22" max="22" width="4.125" customWidth="1"/>
    <col min="23" max="23" width="4" customWidth="1"/>
    <col min="24" max="26" width="3.625" customWidth="1"/>
    <col min="27" max="27" width="3.75" customWidth="1"/>
    <col min="28" max="28" width="7.75" customWidth="1"/>
    <col min="29" max="29" width="7.125" customWidth="1"/>
    <col min="30" max="30" width="3.75" customWidth="1"/>
    <col min="31" max="31" width="4.5" customWidth="1"/>
    <col min="32" max="33" width="3.625" customWidth="1"/>
  </cols>
  <sheetData>
    <row r="1" spans="1:9" ht="16.5" thickBot="1" x14ac:dyDescent="0.3">
      <c r="A1" s="76"/>
      <c r="B1" s="107"/>
      <c r="C1" s="102"/>
      <c r="D1" s="95" t="s">
        <v>4</v>
      </c>
      <c r="E1" s="228"/>
      <c r="F1" s="259"/>
      <c r="G1" s="259"/>
      <c r="H1" s="259"/>
      <c r="I1" s="260"/>
    </row>
    <row r="2" spans="1:9" ht="32.25" customHeight="1" thickBot="1" x14ac:dyDescent="0.3">
      <c r="A2" s="265" t="s">
        <v>1</v>
      </c>
      <c r="B2" s="261" t="s">
        <v>52</v>
      </c>
      <c r="C2" s="262"/>
      <c r="D2" s="263" t="s">
        <v>2</v>
      </c>
      <c r="E2" s="230"/>
      <c r="F2" s="256" t="s">
        <v>90</v>
      </c>
      <c r="G2" s="257"/>
      <c r="H2" s="257"/>
      <c r="I2" s="258"/>
    </row>
    <row r="3" spans="1:9" ht="16.5" thickBot="1" x14ac:dyDescent="0.3">
      <c r="A3" s="266"/>
      <c r="B3" s="74" t="s">
        <v>53</v>
      </c>
      <c r="C3" s="75" t="s">
        <v>54</v>
      </c>
      <c r="D3" s="264"/>
      <c r="E3" s="231"/>
      <c r="F3" s="77" t="s">
        <v>48</v>
      </c>
      <c r="G3" s="78" t="s">
        <v>49</v>
      </c>
      <c r="H3" s="79" t="s">
        <v>50</v>
      </c>
      <c r="I3" s="80" t="s">
        <v>51</v>
      </c>
    </row>
    <row r="4" spans="1:9" x14ac:dyDescent="0.25">
      <c r="A4" s="96" t="s">
        <v>91</v>
      </c>
      <c r="B4" s="103">
        <v>6.2925966669999998</v>
      </c>
      <c r="C4" s="104">
        <v>-75.595439999999996</v>
      </c>
      <c r="D4" s="81" t="s">
        <v>12</v>
      </c>
      <c r="E4" s="229">
        <f>(F4+H4)/(SUM(F4:I4))</f>
        <v>0</v>
      </c>
      <c r="F4" s="27"/>
      <c r="G4" s="20">
        <v>5</v>
      </c>
      <c r="H4" s="20"/>
      <c r="I4" s="28"/>
    </row>
    <row r="5" spans="1:9" ht="16.5" customHeight="1" thickBot="1" x14ac:dyDescent="0.3">
      <c r="A5" s="82" t="s">
        <v>92</v>
      </c>
      <c r="B5" s="103">
        <v>6.29169</v>
      </c>
      <c r="C5" s="104">
        <v>-75.590833333000006</v>
      </c>
      <c r="D5" s="83"/>
      <c r="E5" s="229">
        <f t="shared" ref="E5:E32" si="0">(F5+H5)/(SUM(F5:I5))</f>
        <v>0</v>
      </c>
      <c r="F5" s="27"/>
      <c r="G5" s="20">
        <v>4</v>
      </c>
      <c r="H5" s="20"/>
      <c r="I5" s="28"/>
    </row>
    <row r="6" spans="1:9" x14ac:dyDescent="0.25">
      <c r="A6" s="97" t="s">
        <v>93</v>
      </c>
      <c r="B6" s="103">
        <v>6.2872250000000003</v>
      </c>
      <c r="C6" s="104">
        <v>-75.587051666999997</v>
      </c>
      <c r="D6" s="84" t="s">
        <v>6</v>
      </c>
      <c r="E6" s="229">
        <f t="shared" si="0"/>
        <v>1</v>
      </c>
      <c r="F6" s="27">
        <v>3</v>
      </c>
      <c r="G6" s="20"/>
      <c r="H6" s="20">
        <v>1</v>
      </c>
      <c r="I6" s="28"/>
    </row>
    <row r="7" spans="1:9" x14ac:dyDescent="0.25">
      <c r="A7" s="85" t="s">
        <v>94</v>
      </c>
      <c r="B7" s="103">
        <v>6.2884250000000002</v>
      </c>
      <c r="C7" s="104">
        <v>-75.589855</v>
      </c>
      <c r="D7" s="48"/>
      <c r="E7" s="229">
        <f t="shared" si="0"/>
        <v>1</v>
      </c>
      <c r="F7" s="27">
        <v>1</v>
      </c>
      <c r="G7" s="20"/>
      <c r="H7" s="20"/>
      <c r="I7" s="28"/>
    </row>
    <row r="8" spans="1:9" x14ac:dyDescent="0.25">
      <c r="A8" s="98" t="s">
        <v>95</v>
      </c>
      <c r="B8" s="103">
        <v>6.2882166670000004</v>
      </c>
      <c r="C8" s="104">
        <v>-75.592743333000001</v>
      </c>
      <c r="D8" s="81" t="s">
        <v>12</v>
      </c>
      <c r="E8" s="229">
        <f t="shared" si="0"/>
        <v>0</v>
      </c>
      <c r="F8" s="27"/>
      <c r="G8" s="20">
        <v>3</v>
      </c>
      <c r="H8" s="20"/>
      <c r="I8" s="28"/>
    </row>
    <row r="9" spans="1:9" ht="16.5" thickBot="1" x14ac:dyDescent="0.3">
      <c r="A9" s="87" t="s">
        <v>96</v>
      </c>
      <c r="B9" s="103">
        <v>6.2845933330000001</v>
      </c>
      <c r="C9" s="104">
        <v>-75.593841667000007</v>
      </c>
      <c r="D9" s="84" t="s">
        <v>6</v>
      </c>
      <c r="E9" s="229" t="e">
        <f t="shared" si="0"/>
        <v>#DIV/0!</v>
      </c>
      <c r="F9" s="27"/>
      <c r="G9" s="20"/>
      <c r="H9" s="20"/>
      <c r="I9" s="28"/>
    </row>
    <row r="10" spans="1:9" ht="15.75" customHeight="1" thickBot="1" x14ac:dyDescent="0.3">
      <c r="A10" s="88" t="s">
        <v>97</v>
      </c>
      <c r="B10" s="103">
        <v>6.2844616670000004</v>
      </c>
      <c r="C10" s="104">
        <v>-75.587478333000007</v>
      </c>
      <c r="D10" s="48"/>
      <c r="E10" s="229" t="e">
        <f t="shared" si="0"/>
        <v>#DIV/0!</v>
      </c>
      <c r="F10" s="27"/>
      <c r="G10" s="20"/>
      <c r="H10" s="20"/>
      <c r="I10" s="28"/>
    </row>
    <row r="11" spans="1:9" ht="16.5" thickBot="1" x14ac:dyDescent="0.3">
      <c r="A11" s="87" t="s">
        <v>98</v>
      </c>
      <c r="B11" s="103">
        <v>6.2837183330000004</v>
      </c>
      <c r="C11" s="104">
        <v>-75.580744999999993</v>
      </c>
      <c r="D11" s="84" t="s">
        <v>6</v>
      </c>
      <c r="E11" s="229" t="e">
        <f t="shared" si="0"/>
        <v>#DIV/0!</v>
      </c>
      <c r="F11" s="27"/>
      <c r="G11" s="20"/>
      <c r="H11" s="20"/>
      <c r="I11" s="28"/>
    </row>
    <row r="12" spans="1:9" ht="16.5" thickBot="1" x14ac:dyDescent="0.3">
      <c r="A12" s="90" t="s">
        <v>99</v>
      </c>
      <c r="B12" s="103">
        <v>6.282025</v>
      </c>
      <c r="C12" s="104">
        <v>-75.589675</v>
      </c>
      <c r="D12" s="84" t="s">
        <v>6</v>
      </c>
      <c r="E12" s="229" t="e">
        <f t="shared" si="0"/>
        <v>#DIV/0!</v>
      </c>
      <c r="F12" s="27"/>
      <c r="G12" s="20"/>
      <c r="H12" s="20"/>
      <c r="I12" s="28"/>
    </row>
    <row r="13" spans="1:9" ht="16.5" thickBot="1" x14ac:dyDescent="0.3">
      <c r="A13" s="87" t="s">
        <v>100</v>
      </c>
      <c r="B13" s="103">
        <v>6.2808200000000003</v>
      </c>
      <c r="C13" s="104">
        <v>-75.595328332999998</v>
      </c>
      <c r="D13" s="84" t="s">
        <v>6</v>
      </c>
      <c r="E13" s="229" t="e">
        <f t="shared" si="0"/>
        <v>#DIV/0!</v>
      </c>
      <c r="F13" s="27"/>
      <c r="G13" s="20"/>
      <c r="H13" s="20"/>
      <c r="I13" s="28"/>
    </row>
    <row r="14" spans="1:9" ht="16.5" thickBot="1" x14ac:dyDescent="0.3">
      <c r="A14" s="90" t="s">
        <v>101</v>
      </c>
      <c r="B14" s="103">
        <v>6.2809216670000003</v>
      </c>
      <c r="C14" s="104">
        <v>-75.598931667000002</v>
      </c>
      <c r="D14" s="84" t="s">
        <v>6</v>
      </c>
      <c r="E14" s="229" t="e">
        <f t="shared" si="0"/>
        <v>#DIV/0!</v>
      </c>
      <c r="F14" s="27"/>
      <c r="G14" s="20"/>
      <c r="H14" s="20"/>
      <c r="I14" s="28"/>
    </row>
    <row r="15" spans="1:9" ht="15.75" customHeight="1" thickBot="1" x14ac:dyDescent="0.3">
      <c r="A15" s="85" t="s">
        <v>102</v>
      </c>
      <c r="B15" s="103">
        <v>6.2838366670000001</v>
      </c>
      <c r="C15" s="104">
        <v>-75.600475000000003</v>
      </c>
      <c r="D15" s="48"/>
      <c r="E15" s="229">
        <f t="shared" si="0"/>
        <v>0</v>
      </c>
      <c r="F15" s="27"/>
      <c r="G15" s="20">
        <v>1</v>
      </c>
      <c r="H15" s="20"/>
      <c r="I15" s="28"/>
    </row>
    <row r="16" spans="1:9" ht="16.5" thickBot="1" x14ac:dyDescent="0.3">
      <c r="A16" s="90" t="s">
        <v>103</v>
      </c>
      <c r="B16" s="103">
        <v>6.2782416669999996</v>
      </c>
      <c r="C16" s="104">
        <v>-75.605074999999999</v>
      </c>
      <c r="D16" s="84" t="s">
        <v>6</v>
      </c>
      <c r="E16" s="229" t="e">
        <f t="shared" si="0"/>
        <v>#DIV/0!</v>
      </c>
      <c r="F16" s="27"/>
      <c r="G16" s="20"/>
      <c r="H16" s="20"/>
      <c r="I16" s="28"/>
    </row>
    <row r="17" spans="1:9" ht="16.5" thickBot="1" x14ac:dyDescent="0.3">
      <c r="A17" s="99" t="s">
        <v>104</v>
      </c>
      <c r="B17" s="103">
        <v>6.2778700000000001</v>
      </c>
      <c r="C17" s="104">
        <v>-75.598711667000003</v>
      </c>
      <c r="D17" s="84" t="s">
        <v>6</v>
      </c>
      <c r="E17" s="229">
        <f t="shared" si="0"/>
        <v>1</v>
      </c>
      <c r="F17" s="27">
        <v>3</v>
      </c>
      <c r="G17" s="20"/>
      <c r="H17" s="20">
        <v>2</v>
      </c>
      <c r="I17" s="28"/>
    </row>
    <row r="18" spans="1:9" ht="16.5" thickBot="1" x14ac:dyDescent="0.3">
      <c r="A18" s="90" t="s">
        <v>105</v>
      </c>
      <c r="B18" s="103">
        <v>6.2787333329999999</v>
      </c>
      <c r="C18" s="104">
        <v>-75.594570000000004</v>
      </c>
      <c r="D18" s="84" t="s">
        <v>6</v>
      </c>
      <c r="E18" s="229">
        <f t="shared" si="0"/>
        <v>1</v>
      </c>
      <c r="F18" s="27">
        <v>4</v>
      </c>
      <c r="G18" s="20"/>
      <c r="H18" s="20"/>
      <c r="I18" s="28"/>
    </row>
    <row r="19" spans="1:9" ht="16.5" thickBot="1" x14ac:dyDescent="0.3">
      <c r="A19" s="99" t="s">
        <v>106</v>
      </c>
      <c r="B19" s="103">
        <v>6.2783416670000003</v>
      </c>
      <c r="C19" s="104">
        <v>-75.590869999999995</v>
      </c>
      <c r="D19" s="84" t="s">
        <v>6</v>
      </c>
      <c r="E19" s="229">
        <f t="shared" si="0"/>
        <v>1</v>
      </c>
      <c r="F19" s="27"/>
      <c r="G19" s="20"/>
      <c r="H19" s="20">
        <v>2</v>
      </c>
      <c r="I19" s="28"/>
    </row>
    <row r="20" spans="1:9" ht="15.75" customHeight="1" thickBot="1" x14ac:dyDescent="0.3">
      <c r="A20" s="90" t="s">
        <v>107</v>
      </c>
      <c r="B20" s="103">
        <v>6.2746183330000003</v>
      </c>
      <c r="C20" s="104">
        <v>-75.594729999999998</v>
      </c>
      <c r="D20" s="84" t="s">
        <v>6</v>
      </c>
      <c r="E20" s="229" t="e">
        <f t="shared" si="0"/>
        <v>#DIV/0!</v>
      </c>
      <c r="F20" s="27"/>
      <c r="G20" s="20"/>
      <c r="H20" s="20"/>
      <c r="I20" s="28"/>
    </row>
    <row r="21" spans="1:9" ht="15.75" customHeight="1" thickBot="1" x14ac:dyDescent="0.3">
      <c r="A21" s="85" t="s">
        <v>108</v>
      </c>
      <c r="B21" s="103">
        <v>6.2778749999999999</v>
      </c>
      <c r="C21" s="104">
        <v>-75.606563332999997</v>
      </c>
      <c r="D21" s="48"/>
      <c r="E21" s="229">
        <f t="shared" si="0"/>
        <v>1</v>
      </c>
      <c r="F21" s="27"/>
      <c r="G21" s="20"/>
      <c r="H21" s="20">
        <v>1</v>
      </c>
      <c r="I21" s="28"/>
    </row>
    <row r="22" spans="1:9" ht="15.75" customHeight="1" thickBot="1" x14ac:dyDescent="0.3">
      <c r="A22" s="90" t="s">
        <v>109</v>
      </c>
      <c r="B22" s="103">
        <v>6.2771299999999997</v>
      </c>
      <c r="C22" s="104">
        <v>-75.616038333000006</v>
      </c>
      <c r="D22" s="81" t="s">
        <v>12</v>
      </c>
      <c r="E22" s="229" t="e">
        <f t="shared" si="0"/>
        <v>#DIV/0!</v>
      </c>
      <c r="F22" s="27"/>
      <c r="G22" s="20"/>
      <c r="H22" s="20"/>
      <c r="I22" s="28"/>
    </row>
    <row r="23" spans="1:9" ht="15.75" customHeight="1" thickBot="1" x14ac:dyDescent="0.3">
      <c r="A23" s="87" t="s">
        <v>110</v>
      </c>
      <c r="B23" s="103">
        <v>6.2759583330000002</v>
      </c>
      <c r="C23" s="104">
        <v>-75.619251667</v>
      </c>
      <c r="D23" s="81" t="s">
        <v>12</v>
      </c>
      <c r="E23" s="229">
        <f t="shared" si="0"/>
        <v>0.66666666666666663</v>
      </c>
      <c r="F23" s="27">
        <v>2</v>
      </c>
      <c r="G23" s="20"/>
      <c r="H23" s="20"/>
      <c r="I23" s="28">
        <v>1</v>
      </c>
    </row>
    <row r="24" spans="1:9" ht="15.75" customHeight="1" thickBot="1" x14ac:dyDescent="0.3">
      <c r="A24" s="90" t="s">
        <v>111</v>
      </c>
      <c r="B24" s="103">
        <v>6.2721466670000003</v>
      </c>
      <c r="C24" s="104">
        <v>-75.617546666999999</v>
      </c>
      <c r="D24" s="81" t="s">
        <v>12</v>
      </c>
      <c r="E24" s="229">
        <f t="shared" si="0"/>
        <v>0</v>
      </c>
      <c r="F24" s="27"/>
      <c r="G24" s="20">
        <v>4</v>
      </c>
      <c r="H24" s="20"/>
      <c r="I24" s="28"/>
    </row>
    <row r="25" spans="1:9" ht="15.75" customHeight="1" thickBot="1" x14ac:dyDescent="0.3">
      <c r="A25" s="85" t="s">
        <v>112</v>
      </c>
      <c r="B25" s="103">
        <v>6.2738933330000002</v>
      </c>
      <c r="C25" s="104">
        <v>-75.611410000000006</v>
      </c>
      <c r="D25" s="48"/>
      <c r="E25" s="229">
        <f t="shared" si="0"/>
        <v>1</v>
      </c>
      <c r="F25" s="27">
        <v>1</v>
      </c>
      <c r="G25" s="20"/>
      <c r="H25" s="20"/>
      <c r="I25" s="28"/>
    </row>
    <row r="26" spans="1:9" ht="15.75" customHeight="1" thickBot="1" x14ac:dyDescent="0.3">
      <c r="A26" s="90" t="s">
        <v>113</v>
      </c>
      <c r="B26" s="103">
        <v>6.2761149999999999</v>
      </c>
      <c r="C26" s="104">
        <v>-75.613246666999999</v>
      </c>
      <c r="D26" s="84" t="s">
        <v>6</v>
      </c>
      <c r="E26" s="229">
        <f t="shared" si="0"/>
        <v>0</v>
      </c>
      <c r="F26" s="27"/>
      <c r="G26" s="20">
        <v>3</v>
      </c>
      <c r="H26" s="20"/>
      <c r="I26" s="28"/>
    </row>
    <row r="27" spans="1:9" ht="15.75" customHeight="1" thickBot="1" x14ac:dyDescent="0.3">
      <c r="A27" s="91" t="s">
        <v>114</v>
      </c>
      <c r="B27" s="72">
        <v>62.736449999999998</v>
      </c>
      <c r="C27" s="105">
        <v>-75.581381667000002</v>
      </c>
      <c r="D27" s="225"/>
      <c r="E27" s="229">
        <f t="shared" si="0"/>
        <v>1</v>
      </c>
      <c r="F27" s="27">
        <v>2</v>
      </c>
      <c r="G27" s="20"/>
      <c r="H27" s="20">
        <v>2</v>
      </c>
      <c r="I27" s="28"/>
    </row>
    <row r="28" spans="1:9" ht="15.75" customHeight="1" thickBot="1" x14ac:dyDescent="0.3">
      <c r="A28" s="226" t="s">
        <v>115</v>
      </c>
      <c r="B28" s="72">
        <v>62.728133329999999</v>
      </c>
      <c r="C28" s="105">
        <v>-75.589910000000003</v>
      </c>
      <c r="D28" s="84" t="s">
        <v>6</v>
      </c>
      <c r="E28" s="229">
        <f t="shared" si="0"/>
        <v>1</v>
      </c>
      <c r="F28" s="27">
        <v>2</v>
      </c>
      <c r="G28" s="20"/>
      <c r="H28" s="20"/>
      <c r="I28" s="28"/>
    </row>
    <row r="29" spans="1:9" ht="15.75" customHeight="1" thickBot="1" x14ac:dyDescent="0.3">
      <c r="A29" s="101" t="s">
        <v>178</v>
      </c>
      <c r="B29" s="72">
        <v>62.700683329999997</v>
      </c>
      <c r="C29" s="105">
        <v>-75.587138332999999</v>
      </c>
      <c r="D29" s="84" t="s">
        <v>6</v>
      </c>
      <c r="E29" s="229" t="e">
        <f t="shared" si="0"/>
        <v>#DIV/0!</v>
      </c>
      <c r="F29" s="27"/>
      <c r="G29" s="20"/>
      <c r="H29" s="20"/>
      <c r="I29" s="28"/>
    </row>
    <row r="30" spans="1:9" ht="16.5" thickBot="1" x14ac:dyDescent="0.3">
      <c r="A30" s="92" t="s">
        <v>116</v>
      </c>
      <c r="B30" s="72">
        <v>62.615983329999999</v>
      </c>
      <c r="C30" s="105">
        <v>-75.583326666999994</v>
      </c>
      <c r="D30" s="84" t="s">
        <v>6</v>
      </c>
      <c r="E30" s="229">
        <f t="shared" si="0"/>
        <v>1</v>
      </c>
      <c r="F30" s="27">
        <v>1</v>
      </c>
      <c r="G30" s="20"/>
      <c r="H30" s="20">
        <v>1</v>
      </c>
      <c r="I30" s="28"/>
    </row>
    <row r="31" spans="1:9" ht="16.5" thickBot="1" x14ac:dyDescent="0.3">
      <c r="A31" s="91" t="s">
        <v>117</v>
      </c>
      <c r="B31" s="72">
        <v>62.812216669999998</v>
      </c>
      <c r="C31" s="105">
        <v>-75.577188332999995</v>
      </c>
      <c r="D31" s="84" t="s">
        <v>6</v>
      </c>
      <c r="E31" s="229" t="e">
        <f t="shared" si="0"/>
        <v>#DIV/0!</v>
      </c>
      <c r="F31" s="27"/>
      <c r="G31" s="20"/>
      <c r="H31" s="20"/>
      <c r="I31" s="28"/>
    </row>
    <row r="32" spans="1:9" ht="16.5" thickBot="1" x14ac:dyDescent="0.3">
      <c r="A32" s="92" t="s">
        <v>118</v>
      </c>
      <c r="B32" s="73">
        <v>62.794466669999998</v>
      </c>
      <c r="C32" s="106">
        <v>-75.576751666999996</v>
      </c>
      <c r="D32" s="93" t="s">
        <v>6</v>
      </c>
      <c r="E32" s="229">
        <f t="shared" si="0"/>
        <v>1</v>
      </c>
      <c r="F32" s="3">
        <v>3</v>
      </c>
      <c r="G32" s="4"/>
      <c r="H32" s="4"/>
      <c r="I32" s="5"/>
    </row>
    <row r="33" spans="2:36" x14ac:dyDescent="0.25">
      <c r="G33"/>
    </row>
    <row r="34" spans="2:36" ht="15.75" customHeight="1" x14ac:dyDescent="0.25"/>
    <row r="35" spans="2:36" ht="15.75" customHeight="1" x14ac:dyDescent="0.25">
      <c r="G35"/>
      <c r="H35" s="234" t="s">
        <v>89</v>
      </c>
      <c r="I35" s="234"/>
      <c r="J35" s="234"/>
      <c r="K35" s="234"/>
      <c r="AI35" s="2"/>
      <c r="AJ35" s="2"/>
    </row>
    <row r="36" spans="2:36" ht="15.75" customHeight="1" x14ac:dyDescent="0.25">
      <c r="B36" t="s">
        <v>23</v>
      </c>
      <c r="G36"/>
      <c r="H36" s="234" t="s">
        <v>24</v>
      </c>
      <c r="I36" s="234"/>
      <c r="J36" s="234"/>
      <c r="K36" s="234"/>
      <c r="L36">
        <v>19</v>
      </c>
      <c r="AI36" s="2"/>
      <c r="AJ36" s="2"/>
    </row>
    <row r="37" spans="2:36" ht="15.75" customHeight="1" x14ac:dyDescent="0.25">
      <c r="B37" s="234" t="s">
        <v>25</v>
      </c>
      <c r="C37" s="234"/>
      <c r="D37" s="234"/>
      <c r="E37" s="13"/>
      <c r="G37"/>
      <c r="H37" s="234" t="s">
        <v>26</v>
      </c>
      <c r="I37" s="234"/>
      <c r="J37" s="234"/>
      <c r="K37" s="234"/>
      <c r="L37">
        <v>43</v>
      </c>
      <c r="T37" s="234" t="s">
        <v>28</v>
      </c>
      <c r="U37" s="234"/>
      <c r="V37" s="234"/>
      <c r="W37" s="234"/>
      <c r="X37" s="234"/>
      <c r="AA37">
        <v>42</v>
      </c>
      <c r="AI37" s="2"/>
      <c r="AJ37" s="2"/>
    </row>
    <row r="38" spans="2:36" ht="15.75" customHeight="1" x14ac:dyDescent="0.25">
      <c r="B38" s="234" t="s">
        <v>27</v>
      </c>
      <c r="C38" s="234"/>
      <c r="D38" s="234"/>
      <c r="E38" s="13"/>
      <c r="G38"/>
      <c r="H38" s="234" t="s">
        <v>28</v>
      </c>
      <c r="I38" s="234"/>
      <c r="J38" s="234"/>
      <c r="K38" s="234"/>
      <c r="L38">
        <v>18</v>
      </c>
      <c r="AI38" s="2"/>
      <c r="AJ38" s="2"/>
    </row>
    <row r="39" spans="2:36" ht="15.75" customHeight="1" x14ac:dyDescent="0.25">
      <c r="B39" s="234" t="s">
        <v>29</v>
      </c>
      <c r="C39" s="234"/>
      <c r="D39" s="234"/>
      <c r="E39" s="13"/>
      <c r="G39"/>
      <c r="H39" s="234" t="s">
        <v>31</v>
      </c>
      <c r="I39" s="234"/>
      <c r="J39" s="234"/>
      <c r="K39" s="234"/>
      <c r="L39">
        <v>13</v>
      </c>
      <c r="T39" s="234" t="s">
        <v>31</v>
      </c>
      <c r="U39" s="234"/>
      <c r="V39" s="234"/>
      <c r="W39" s="234"/>
      <c r="X39" s="234"/>
      <c r="AA39">
        <v>10</v>
      </c>
      <c r="AI39" s="2"/>
      <c r="AJ39" s="2"/>
    </row>
    <row r="40" spans="2:36" ht="15.75" customHeight="1" x14ac:dyDescent="0.25">
      <c r="B40" s="234" t="s">
        <v>119</v>
      </c>
      <c r="C40" s="234"/>
      <c r="D40" s="234"/>
      <c r="E40" s="13"/>
      <c r="G40"/>
      <c r="H40" s="234" t="s">
        <v>32</v>
      </c>
      <c r="I40" s="234"/>
      <c r="J40" s="234"/>
      <c r="K40" s="234"/>
      <c r="L40">
        <v>16</v>
      </c>
      <c r="T40" s="13" t="s">
        <v>33</v>
      </c>
      <c r="U40" s="13"/>
      <c r="V40" s="13"/>
      <c r="W40" s="13"/>
      <c r="X40" s="13"/>
      <c r="Y40" s="13"/>
      <c r="Z40" s="13"/>
      <c r="AA40">
        <v>22</v>
      </c>
      <c r="AI40" s="2"/>
      <c r="AJ40" s="2"/>
    </row>
    <row r="41" spans="2:36" ht="15.75" customHeight="1" x14ac:dyDescent="0.25">
      <c r="G41"/>
      <c r="H41" s="234" t="s">
        <v>34</v>
      </c>
      <c r="I41" s="234"/>
      <c r="J41" s="234"/>
      <c r="K41" s="234"/>
      <c r="L41">
        <v>28</v>
      </c>
      <c r="T41" s="13" t="s">
        <v>35</v>
      </c>
      <c r="U41" s="13"/>
      <c r="V41" s="13"/>
      <c r="W41" s="13"/>
      <c r="X41" s="13"/>
      <c r="Y41" s="13"/>
      <c r="Z41" s="13"/>
      <c r="AA41">
        <v>20</v>
      </c>
      <c r="AI41" s="2"/>
      <c r="AJ41" s="2"/>
    </row>
    <row r="42" spans="2:36" ht="15.75" customHeight="1" x14ac:dyDescent="0.25">
      <c r="B42" s="234" t="s">
        <v>36</v>
      </c>
      <c r="C42" s="234"/>
      <c r="D42" s="234"/>
      <c r="E42" s="13"/>
      <c r="G42"/>
      <c r="H42" s="234" t="s">
        <v>37</v>
      </c>
      <c r="I42" s="234"/>
      <c r="J42" s="234"/>
      <c r="K42" s="234"/>
      <c r="L42">
        <v>9</v>
      </c>
      <c r="T42" s="234" t="s">
        <v>38</v>
      </c>
      <c r="U42" s="234"/>
      <c r="V42" s="234"/>
      <c r="W42" s="234"/>
      <c r="X42" s="234"/>
      <c r="Y42" s="234"/>
      <c r="Z42" s="234"/>
      <c r="AA42">
        <v>9</v>
      </c>
      <c r="AI42" s="2"/>
      <c r="AJ42" s="2"/>
    </row>
    <row r="43" spans="2:36" ht="15.75" customHeight="1" x14ac:dyDescent="0.25">
      <c r="B43" s="234" t="s">
        <v>39</v>
      </c>
      <c r="C43" s="234"/>
      <c r="D43" s="234"/>
      <c r="E43" s="13"/>
      <c r="G43"/>
      <c r="H43" s="234" t="s">
        <v>40</v>
      </c>
      <c r="I43" s="234"/>
      <c r="J43" s="234"/>
      <c r="K43" s="234"/>
      <c r="L43">
        <v>4</v>
      </c>
      <c r="T43" s="234" t="s">
        <v>41</v>
      </c>
      <c r="U43" s="234"/>
      <c r="V43" s="234"/>
      <c r="W43" s="234"/>
      <c r="X43" s="234"/>
      <c r="Y43" s="234"/>
      <c r="Z43" s="234"/>
      <c r="AA43">
        <v>1</v>
      </c>
      <c r="AI43" s="2"/>
      <c r="AJ43" s="2"/>
    </row>
    <row r="44" spans="2:36" ht="15.75" customHeight="1" x14ac:dyDescent="0.25">
      <c r="G44"/>
      <c r="H44" s="234" t="s">
        <v>42</v>
      </c>
      <c r="I44" s="234"/>
      <c r="J44" s="234"/>
      <c r="K44" s="234"/>
      <c r="L44">
        <v>6</v>
      </c>
      <c r="T44" s="234" t="s">
        <v>43</v>
      </c>
      <c r="U44" s="234"/>
      <c r="V44" s="234"/>
      <c r="W44" s="234"/>
      <c r="X44" s="234"/>
      <c r="Y44" s="234"/>
      <c r="Z44" s="234"/>
      <c r="AA44">
        <v>6</v>
      </c>
      <c r="AI44" s="2"/>
      <c r="AJ44" s="2"/>
    </row>
    <row r="45" spans="2:36" ht="15.75" customHeight="1" x14ac:dyDescent="0.25">
      <c r="G45"/>
      <c r="H45" s="234" t="s">
        <v>44</v>
      </c>
      <c r="I45" s="234"/>
      <c r="J45" s="234"/>
      <c r="K45" s="234"/>
      <c r="L45">
        <v>12</v>
      </c>
      <c r="T45" s="234" t="s">
        <v>45</v>
      </c>
      <c r="U45" s="234"/>
      <c r="V45" s="234"/>
      <c r="W45" s="234"/>
      <c r="X45" s="234"/>
      <c r="Y45" s="234"/>
      <c r="Z45" s="234"/>
      <c r="AA45">
        <v>10</v>
      </c>
      <c r="AI45" s="2"/>
      <c r="AJ45" s="2"/>
    </row>
    <row r="46" spans="2:36" ht="15.75" customHeight="1" x14ac:dyDescent="0.25">
      <c r="G46"/>
      <c r="AI46" s="2"/>
      <c r="AJ46" s="2"/>
    </row>
    <row r="47" spans="2:36" ht="15.75" customHeight="1" x14ac:dyDescent="0.25">
      <c r="G47"/>
      <c r="AI47" s="2"/>
      <c r="AJ47" s="2"/>
    </row>
    <row r="48" spans="2:36" ht="15.75" customHeight="1" x14ac:dyDescent="0.25"/>
    <row r="49" spans="2:42" ht="15.75" customHeight="1" x14ac:dyDescent="0.25"/>
    <row r="50" spans="2:42" ht="15.75" customHeight="1" x14ac:dyDescent="0.25"/>
    <row r="51" spans="2:42" ht="15.75" customHeight="1" x14ac:dyDescent="0.25"/>
    <row r="52" spans="2:42" ht="15.75" customHeight="1" x14ac:dyDescent="0.25"/>
    <row r="53" spans="2:42" ht="15.75" customHeight="1" x14ac:dyDescent="0.25"/>
    <row r="54" spans="2:42" ht="15.75" customHeight="1" x14ac:dyDescent="0.25"/>
    <row r="55" spans="2:42" s="54" customFormat="1" ht="15.75" customHeight="1" x14ac:dyDescent="0.25">
      <c r="B55"/>
      <c r="C55"/>
      <c r="D55"/>
      <c r="E55"/>
      <c r="F55"/>
      <c r="G55" s="94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2:42" s="54" customFormat="1" ht="15.75" customHeight="1" x14ac:dyDescent="0.25">
      <c r="B56"/>
      <c r="C56"/>
      <c r="D56"/>
      <c r="E56"/>
      <c r="F56"/>
      <c r="G56" s="94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2:42" s="54" customFormat="1" ht="15.75" customHeight="1" x14ac:dyDescent="0.25">
      <c r="B57"/>
      <c r="C57"/>
      <c r="D57"/>
      <c r="E57"/>
      <c r="F57"/>
      <c r="G57" s="94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2:42" s="54" customFormat="1" ht="15.75" customHeight="1" x14ac:dyDescent="0.25">
      <c r="B58"/>
      <c r="C58"/>
      <c r="D58"/>
      <c r="E58"/>
      <c r="F58"/>
      <c r="G58" s="94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2:42" s="54" customFormat="1" ht="15.75" customHeight="1" x14ac:dyDescent="0.25">
      <c r="B59"/>
      <c r="C59"/>
      <c r="D59"/>
      <c r="E59"/>
      <c r="F59"/>
      <c r="G59" s="94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2:42" s="54" customFormat="1" ht="15.75" customHeight="1" x14ac:dyDescent="0.25">
      <c r="B60"/>
      <c r="C60"/>
      <c r="D60"/>
      <c r="E60"/>
      <c r="F60"/>
      <c r="G60" s="94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2:42" s="54" customFormat="1" ht="15.75" customHeight="1" x14ac:dyDescent="0.25">
      <c r="B61"/>
      <c r="C61"/>
      <c r="D61"/>
      <c r="E61"/>
      <c r="F61"/>
      <c r="G61" s="94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2:42" s="54" customFormat="1" ht="15.75" customHeight="1" x14ac:dyDescent="0.25">
      <c r="B62"/>
      <c r="C62"/>
      <c r="D62"/>
      <c r="E62"/>
      <c r="F62"/>
      <c r="G62" s="94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2:42" s="54" customFormat="1" ht="15.75" customHeight="1" x14ac:dyDescent="0.25">
      <c r="B63"/>
      <c r="C63"/>
      <c r="D63"/>
      <c r="E63"/>
      <c r="F63"/>
      <c r="G63" s="94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2:42" s="54" customFormat="1" ht="15.75" customHeight="1" x14ac:dyDescent="0.25">
      <c r="B64"/>
      <c r="C64"/>
      <c r="D64"/>
      <c r="E64"/>
      <c r="F64"/>
      <c r="G64" s="9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2:42" s="54" customFormat="1" ht="15.75" customHeight="1" x14ac:dyDescent="0.25">
      <c r="B65"/>
      <c r="C65"/>
      <c r="D65"/>
      <c r="E65"/>
      <c r="F65"/>
      <c r="G65" s="94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2:42" s="54" customFormat="1" ht="15.75" customHeight="1" x14ac:dyDescent="0.25">
      <c r="B66"/>
      <c r="C66"/>
      <c r="D66"/>
      <c r="E66"/>
      <c r="F66"/>
      <c r="G66" s="94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2:42" s="54" customFormat="1" ht="15.75" customHeight="1" x14ac:dyDescent="0.25">
      <c r="B67"/>
      <c r="C67"/>
      <c r="D67"/>
      <c r="E67"/>
      <c r="F67"/>
      <c r="G67" s="94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2:42" s="54" customFormat="1" ht="15.75" customHeight="1" x14ac:dyDescent="0.25">
      <c r="B68"/>
      <c r="C68"/>
      <c r="D68"/>
      <c r="E68"/>
      <c r="F68"/>
      <c r="G68" s="94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2:42" s="54" customFormat="1" ht="15.75" customHeight="1" x14ac:dyDescent="0.25">
      <c r="B69"/>
      <c r="C69"/>
      <c r="D69"/>
      <c r="E69"/>
      <c r="F69"/>
      <c r="G69" s="94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2:42" s="54" customFormat="1" ht="15.75" customHeight="1" x14ac:dyDescent="0.25">
      <c r="B70"/>
      <c r="C70"/>
      <c r="D70"/>
      <c r="E70"/>
      <c r="F70"/>
      <c r="G70" s="94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2:42" s="54" customFormat="1" ht="15.75" customHeight="1" x14ac:dyDescent="0.25">
      <c r="B71"/>
      <c r="C71"/>
      <c r="D71"/>
      <c r="E71"/>
      <c r="F71"/>
      <c r="G71" s="94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2:42" s="54" customFormat="1" ht="15.75" customHeight="1" x14ac:dyDescent="0.25">
      <c r="B72"/>
      <c r="C72"/>
      <c r="D72"/>
      <c r="E72"/>
      <c r="F72"/>
      <c r="G72" s="94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2:42" s="54" customFormat="1" ht="15.75" customHeight="1" x14ac:dyDescent="0.25">
      <c r="B73"/>
      <c r="C73"/>
      <c r="D73"/>
      <c r="E73"/>
      <c r="F73"/>
      <c r="G73" s="94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2:42" s="54" customFormat="1" ht="15.75" customHeight="1" x14ac:dyDescent="0.25">
      <c r="B74"/>
      <c r="C74"/>
      <c r="D74"/>
      <c r="E74"/>
      <c r="F74"/>
      <c r="G74" s="9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2:42" s="54" customFormat="1" ht="15.75" customHeight="1" x14ac:dyDescent="0.25">
      <c r="B75"/>
      <c r="C75"/>
      <c r="D75"/>
      <c r="E75"/>
      <c r="F75"/>
      <c r="G75" s="94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2:42" s="54" customFormat="1" ht="15.75" customHeight="1" x14ac:dyDescent="0.25">
      <c r="B76"/>
      <c r="C76"/>
      <c r="D76"/>
      <c r="E76"/>
      <c r="F76"/>
      <c r="G76" s="94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2:42" s="54" customFormat="1" ht="15.75" customHeight="1" x14ac:dyDescent="0.25">
      <c r="B77"/>
      <c r="C77"/>
      <c r="D77"/>
      <c r="E77"/>
      <c r="F77"/>
      <c r="G77" s="94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2:42" s="54" customFormat="1" ht="15.75" customHeight="1" x14ac:dyDescent="0.25">
      <c r="B78"/>
      <c r="C78"/>
      <c r="D78"/>
      <c r="E78"/>
      <c r="F78"/>
      <c r="G78" s="94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2:42" s="54" customFormat="1" ht="15.75" customHeight="1" x14ac:dyDescent="0.25">
      <c r="B79"/>
      <c r="C79"/>
      <c r="D79"/>
      <c r="E79"/>
      <c r="F79"/>
      <c r="G79" s="94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2:42" s="54" customFormat="1" ht="15.75" customHeight="1" x14ac:dyDescent="0.25">
      <c r="B80"/>
      <c r="C80"/>
      <c r="D80"/>
      <c r="E80"/>
      <c r="F80"/>
      <c r="G80" s="94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2:42" s="54" customFormat="1" ht="15.75" customHeight="1" x14ac:dyDescent="0.25">
      <c r="B81"/>
      <c r="C81"/>
      <c r="D81"/>
      <c r="E81"/>
      <c r="F81"/>
      <c r="G81" s="94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2:42" s="54" customFormat="1" ht="15.75" customHeight="1" x14ac:dyDescent="0.25">
      <c r="B82"/>
      <c r="C82"/>
      <c r="D82"/>
      <c r="E82"/>
      <c r="F82"/>
      <c r="G82" s="94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2:42" s="54" customFormat="1" ht="15.75" customHeight="1" x14ac:dyDescent="0.25">
      <c r="B83"/>
      <c r="C83"/>
      <c r="D83"/>
      <c r="E83"/>
      <c r="F83"/>
      <c r="G83" s="94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2:42" s="54" customFormat="1" ht="15.75" customHeight="1" x14ac:dyDescent="0.25">
      <c r="B84"/>
      <c r="C84"/>
      <c r="D84"/>
      <c r="E84"/>
      <c r="F84"/>
      <c r="G84" s="9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2:42" s="54" customFormat="1" ht="15.75" customHeight="1" x14ac:dyDescent="0.25">
      <c r="B85"/>
      <c r="C85"/>
      <c r="D85"/>
      <c r="E85"/>
      <c r="F85"/>
      <c r="G85" s="94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2:42" s="54" customFormat="1" ht="15.75" customHeight="1" x14ac:dyDescent="0.25">
      <c r="B86"/>
      <c r="C86"/>
      <c r="D86"/>
      <c r="E86"/>
      <c r="F86"/>
      <c r="G86" s="94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2:42" s="54" customFormat="1" ht="15.75" customHeight="1" x14ac:dyDescent="0.25">
      <c r="B87"/>
      <c r="C87"/>
      <c r="D87"/>
      <c r="E87"/>
      <c r="F87"/>
      <c r="G87" s="94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2:42" s="54" customFormat="1" ht="15.75" customHeight="1" x14ac:dyDescent="0.25">
      <c r="B88"/>
      <c r="C88"/>
      <c r="D88"/>
      <c r="E88"/>
      <c r="F88"/>
      <c r="G88" s="94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2:42" s="54" customFormat="1" ht="15.75" customHeight="1" x14ac:dyDescent="0.25">
      <c r="B89"/>
      <c r="C89"/>
      <c r="D89"/>
      <c r="E89"/>
      <c r="F89"/>
      <c r="G89" s="94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2:42" s="54" customFormat="1" ht="15.75" customHeight="1" x14ac:dyDescent="0.25">
      <c r="B90"/>
      <c r="C90"/>
      <c r="D90"/>
      <c r="E90"/>
      <c r="F90"/>
      <c r="G90" s="94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2:42" s="54" customFormat="1" ht="15.75" customHeight="1" x14ac:dyDescent="0.25">
      <c r="B91"/>
      <c r="C91"/>
      <c r="D91"/>
      <c r="E91"/>
      <c r="F91"/>
      <c r="G91" s="94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2:42" s="54" customFormat="1" ht="15.75" customHeight="1" x14ac:dyDescent="0.25">
      <c r="B92"/>
      <c r="C92"/>
      <c r="D92"/>
      <c r="E92"/>
      <c r="F92"/>
      <c r="G92" s="94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2:42" s="54" customFormat="1" ht="15.75" customHeight="1" x14ac:dyDescent="0.25">
      <c r="B93"/>
      <c r="C93"/>
      <c r="D93"/>
      <c r="E93"/>
      <c r="F93"/>
      <c r="G93" s="94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2:42" s="54" customFormat="1" ht="15.75" customHeight="1" x14ac:dyDescent="0.25">
      <c r="B94"/>
      <c r="C94"/>
      <c r="D94"/>
      <c r="E94"/>
      <c r="F94"/>
      <c r="G94" s="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2:42" s="54" customFormat="1" ht="15.75" customHeight="1" x14ac:dyDescent="0.25">
      <c r="B95"/>
      <c r="C95"/>
      <c r="D95"/>
      <c r="E95"/>
      <c r="F95"/>
      <c r="G95" s="94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2:42" s="54" customFormat="1" ht="15.75" customHeight="1" x14ac:dyDescent="0.25">
      <c r="B96"/>
      <c r="C96"/>
      <c r="D96"/>
      <c r="E96"/>
      <c r="F96"/>
      <c r="G96" s="94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:42" s="54" customFormat="1" ht="15.75" customHeight="1" x14ac:dyDescent="0.25">
      <c r="B97"/>
      <c r="C97"/>
      <c r="D97"/>
      <c r="E97"/>
      <c r="F97"/>
      <c r="G97" s="94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:42" s="54" customFormat="1" ht="15.75" customHeight="1" x14ac:dyDescent="0.25">
      <c r="B98"/>
      <c r="C98"/>
      <c r="D98"/>
      <c r="E98"/>
      <c r="F98"/>
      <c r="G98" s="94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:42" s="54" customFormat="1" ht="15.75" customHeight="1" x14ac:dyDescent="0.25">
      <c r="B99"/>
      <c r="C99"/>
      <c r="D99"/>
      <c r="E99"/>
      <c r="F99"/>
      <c r="G99" s="94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:42" s="54" customFormat="1" ht="15.75" customHeight="1" x14ac:dyDescent="0.25">
      <c r="B100"/>
      <c r="C100"/>
      <c r="D100"/>
      <c r="E100"/>
      <c r="F100"/>
      <c r="G100" s="94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:42" s="54" customFormat="1" ht="15.75" customHeight="1" x14ac:dyDescent="0.25">
      <c r="B101"/>
      <c r="C101"/>
      <c r="D101"/>
      <c r="E101"/>
      <c r="F101"/>
      <c r="G101" s="94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:42" s="54" customFormat="1" ht="15.75" customHeight="1" x14ac:dyDescent="0.25">
      <c r="B102"/>
      <c r="C102"/>
      <c r="D102"/>
      <c r="E102"/>
      <c r="F102"/>
      <c r="G102" s="94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:42" s="54" customFormat="1" ht="15.75" customHeight="1" x14ac:dyDescent="0.25">
      <c r="B103"/>
      <c r="C103"/>
      <c r="D103"/>
      <c r="E103"/>
      <c r="F103"/>
      <c r="G103" s="94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:42" s="54" customFormat="1" ht="15.75" customHeight="1" x14ac:dyDescent="0.25">
      <c r="B104"/>
      <c r="C104"/>
      <c r="D104"/>
      <c r="E104"/>
      <c r="F104"/>
      <c r="G104" s="9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 s="54" customFormat="1" ht="15.75" customHeight="1" x14ac:dyDescent="0.25">
      <c r="B105"/>
      <c r="C105"/>
      <c r="D105"/>
      <c r="E105"/>
      <c r="F105"/>
      <c r="G105" s="94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 s="54" customFormat="1" ht="15.75" customHeight="1" x14ac:dyDescent="0.25">
      <c r="B106"/>
      <c r="C106"/>
      <c r="D106"/>
      <c r="E106"/>
      <c r="F106"/>
      <c r="G106" s="94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 s="54" customFormat="1" ht="15.75" customHeight="1" x14ac:dyDescent="0.25">
      <c r="B107"/>
      <c r="C107"/>
      <c r="D107"/>
      <c r="E107"/>
      <c r="F107"/>
      <c r="G107" s="94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 s="54" customFormat="1" ht="15.75" customHeight="1" x14ac:dyDescent="0.25">
      <c r="B108"/>
      <c r="C108"/>
      <c r="D108"/>
      <c r="E108"/>
      <c r="F108"/>
      <c r="G108" s="94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 s="54" customFormat="1" ht="15.75" customHeight="1" x14ac:dyDescent="0.25">
      <c r="B109"/>
      <c r="C109"/>
      <c r="D109"/>
      <c r="E109"/>
      <c r="F109"/>
      <c r="G109" s="94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 s="54" customFormat="1" ht="15.75" customHeight="1" x14ac:dyDescent="0.25">
      <c r="B110"/>
      <c r="C110"/>
      <c r="D110"/>
      <c r="E110"/>
      <c r="F110"/>
      <c r="G110" s="94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 s="54" customFormat="1" ht="15.75" customHeight="1" x14ac:dyDescent="0.25">
      <c r="B111"/>
      <c r="C111"/>
      <c r="D111"/>
      <c r="E111"/>
      <c r="F111"/>
      <c r="G111" s="94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 s="54" customFormat="1" ht="15.75" customHeight="1" x14ac:dyDescent="0.25">
      <c r="B112"/>
      <c r="C112"/>
      <c r="D112"/>
      <c r="E112"/>
      <c r="F112"/>
      <c r="G112" s="94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 s="54" customFormat="1" ht="15.75" customHeight="1" x14ac:dyDescent="0.25">
      <c r="B113"/>
      <c r="C113"/>
      <c r="D113"/>
      <c r="E113"/>
      <c r="F113"/>
      <c r="G113" s="94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 s="54" customFormat="1" ht="15.75" customHeight="1" x14ac:dyDescent="0.25">
      <c r="B114"/>
      <c r="C114"/>
      <c r="D114"/>
      <c r="E114"/>
      <c r="F114"/>
      <c r="G114" s="9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 s="54" customFormat="1" ht="15.75" customHeight="1" x14ac:dyDescent="0.25">
      <c r="B115"/>
      <c r="C115"/>
      <c r="D115"/>
      <c r="E115"/>
      <c r="F115"/>
      <c r="G115" s="94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s="54" customFormat="1" ht="15.75" customHeight="1" x14ac:dyDescent="0.25">
      <c r="B116"/>
      <c r="C116"/>
      <c r="D116"/>
      <c r="E116"/>
      <c r="F116"/>
      <c r="G116" s="94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 s="54" customFormat="1" ht="15.75" customHeight="1" x14ac:dyDescent="0.25">
      <c r="B117"/>
      <c r="C117"/>
      <c r="D117"/>
      <c r="E117"/>
      <c r="F117"/>
      <c r="G117" s="94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 s="54" customFormat="1" ht="15.75" customHeight="1" x14ac:dyDescent="0.25">
      <c r="B118"/>
      <c r="C118"/>
      <c r="D118"/>
      <c r="E118"/>
      <c r="F118"/>
      <c r="G118" s="94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 s="54" customFormat="1" ht="15.75" customHeight="1" x14ac:dyDescent="0.25">
      <c r="B119"/>
      <c r="C119"/>
      <c r="D119"/>
      <c r="E119"/>
      <c r="F119"/>
      <c r="G119" s="94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 s="54" customFormat="1" ht="15.75" customHeight="1" x14ac:dyDescent="0.25">
      <c r="B120"/>
      <c r="C120"/>
      <c r="D120"/>
      <c r="E120"/>
      <c r="F120"/>
      <c r="G120" s="94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 s="54" customFormat="1" ht="15.75" customHeight="1" x14ac:dyDescent="0.25">
      <c r="B121"/>
      <c r="C121"/>
      <c r="D121"/>
      <c r="E121"/>
      <c r="F121"/>
      <c r="G121" s="94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 s="54" customFormat="1" ht="15.75" customHeight="1" x14ac:dyDescent="0.25">
      <c r="B122"/>
      <c r="C122"/>
      <c r="D122"/>
      <c r="E122"/>
      <c r="F122"/>
      <c r="G122" s="94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 s="54" customFormat="1" ht="15.75" customHeight="1" x14ac:dyDescent="0.25">
      <c r="B123"/>
      <c r="C123"/>
      <c r="D123"/>
      <c r="E123"/>
      <c r="F123"/>
      <c r="G123" s="94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 s="54" customFormat="1" ht="15.75" customHeight="1" x14ac:dyDescent="0.25">
      <c r="B124"/>
      <c r="C124"/>
      <c r="D124"/>
      <c r="E124"/>
      <c r="F124"/>
      <c r="G124" s="9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 s="54" customFormat="1" ht="15.75" customHeight="1" x14ac:dyDescent="0.25">
      <c r="B125"/>
      <c r="C125"/>
      <c r="D125"/>
      <c r="E125"/>
      <c r="F125"/>
      <c r="G125" s="94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 s="54" customFormat="1" ht="15.75" customHeight="1" x14ac:dyDescent="0.25">
      <c r="B126"/>
      <c r="C126"/>
      <c r="D126"/>
      <c r="E126"/>
      <c r="F126"/>
      <c r="G126" s="94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 s="54" customFormat="1" ht="15.75" customHeight="1" x14ac:dyDescent="0.25">
      <c r="B127"/>
      <c r="C127"/>
      <c r="D127"/>
      <c r="E127"/>
      <c r="F127"/>
      <c r="G127" s="94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 s="54" customFormat="1" ht="15.75" customHeight="1" x14ac:dyDescent="0.25">
      <c r="B128"/>
      <c r="C128"/>
      <c r="D128"/>
      <c r="E128"/>
      <c r="F128"/>
      <c r="G128" s="94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 s="54" customFormat="1" ht="15.75" customHeight="1" x14ac:dyDescent="0.25">
      <c r="B129"/>
      <c r="C129"/>
      <c r="D129"/>
      <c r="E129"/>
      <c r="F129"/>
      <c r="G129" s="94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 s="54" customFormat="1" ht="15.75" customHeight="1" x14ac:dyDescent="0.25">
      <c r="B130"/>
      <c r="C130"/>
      <c r="D130"/>
      <c r="E130"/>
      <c r="F130"/>
      <c r="G130" s="94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 s="54" customFormat="1" ht="15.75" customHeight="1" x14ac:dyDescent="0.25">
      <c r="B131"/>
      <c r="C131"/>
      <c r="D131"/>
      <c r="E131"/>
      <c r="F131"/>
      <c r="G131" s="94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 s="54" customFormat="1" ht="15.75" customHeight="1" x14ac:dyDescent="0.25">
      <c r="B132"/>
      <c r="C132"/>
      <c r="D132"/>
      <c r="E132"/>
      <c r="F132"/>
      <c r="G132" s="94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 s="54" customFormat="1" ht="15.75" customHeight="1" x14ac:dyDescent="0.25">
      <c r="B133"/>
      <c r="C133"/>
      <c r="D133"/>
      <c r="E133"/>
      <c r="F133"/>
      <c r="G133" s="94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 s="54" customFormat="1" ht="15.75" customHeight="1" x14ac:dyDescent="0.25">
      <c r="B134"/>
      <c r="C134"/>
      <c r="D134"/>
      <c r="E134"/>
      <c r="F134"/>
      <c r="G134" s="9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 s="54" customFormat="1" ht="15.75" customHeight="1" x14ac:dyDescent="0.25">
      <c r="B135"/>
      <c r="C135"/>
      <c r="D135"/>
      <c r="E135"/>
      <c r="F135"/>
      <c r="G135" s="94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 s="54" customFormat="1" ht="15.75" customHeight="1" x14ac:dyDescent="0.25">
      <c r="B136"/>
      <c r="C136"/>
      <c r="D136"/>
      <c r="E136"/>
      <c r="F136"/>
      <c r="G136" s="94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 s="54" customFormat="1" ht="15.75" customHeight="1" x14ac:dyDescent="0.25">
      <c r="B137"/>
      <c r="C137"/>
      <c r="D137"/>
      <c r="E137"/>
      <c r="F137"/>
      <c r="G137" s="94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 s="54" customFormat="1" ht="15.75" customHeight="1" x14ac:dyDescent="0.25">
      <c r="B138"/>
      <c r="C138"/>
      <c r="D138"/>
      <c r="E138"/>
      <c r="F138"/>
      <c r="G138" s="94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 s="54" customFormat="1" ht="15.75" customHeight="1" x14ac:dyDescent="0.25">
      <c r="B139"/>
      <c r="C139"/>
      <c r="D139"/>
      <c r="E139"/>
      <c r="F139"/>
      <c r="G139" s="94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 s="54" customFormat="1" ht="15.75" customHeight="1" x14ac:dyDescent="0.25">
      <c r="B140"/>
      <c r="C140"/>
      <c r="D140"/>
      <c r="E140"/>
      <c r="F140"/>
      <c r="G140" s="94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 s="54" customFormat="1" ht="15.75" customHeight="1" x14ac:dyDescent="0.25">
      <c r="B141"/>
      <c r="C141"/>
      <c r="D141"/>
      <c r="E141"/>
      <c r="F141"/>
      <c r="G141" s="94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 s="54" customFormat="1" ht="15.75" customHeight="1" x14ac:dyDescent="0.25">
      <c r="B142"/>
      <c r="C142"/>
      <c r="D142"/>
      <c r="E142"/>
      <c r="F142"/>
      <c r="G142" s="94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 s="54" customFormat="1" ht="15.75" customHeight="1" x14ac:dyDescent="0.25">
      <c r="B143"/>
      <c r="C143"/>
      <c r="D143"/>
      <c r="E143"/>
      <c r="F143"/>
      <c r="G143" s="94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 s="54" customFormat="1" ht="15.75" customHeight="1" x14ac:dyDescent="0.25">
      <c r="B144"/>
      <c r="C144"/>
      <c r="D144"/>
      <c r="E144"/>
      <c r="F144"/>
      <c r="G144" s="9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 s="54" customFormat="1" ht="15.75" customHeight="1" x14ac:dyDescent="0.25">
      <c r="B145"/>
      <c r="C145"/>
      <c r="D145"/>
      <c r="E145"/>
      <c r="F145"/>
      <c r="G145" s="94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 s="54" customFormat="1" ht="15.75" customHeight="1" x14ac:dyDescent="0.25">
      <c r="B146"/>
      <c r="C146"/>
      <c r="D146"/>
      <c r="E146"/>
      <c r="F146"/>
      <c r="G146" s="94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 s="54" customFormat="1" ht="15.75" customHeight="1" x14ac:dyDescent="0.25">
      <c r="B147"/>
      <c r="C147"/>
      <c r="D147"/>
      <c r="E147"/>
      <c r="F147"/>
      <c r="G147" s="94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 s="54" customFormat="1" ht="15.75" customHeight="1" x14ac:dyDescent="0.25">
      <c r="B148"/>
      <c r="C148"/>
      <c r="D148"/>
      <c r="E148"/>
      <c r="F148"/>
      <c r="G148" s="94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 s="54" customFormat="1" ht="15.75" customHeight="1" x14ac:dyDescent="0.25">
      <c r="B149"/>
      <c r="C149"/>
      <c r="D149"/>
      <c r="E149"/>
      <c r="F149"/>
      <c r="G149" s="94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 s="54" customFormat="1" ht="15.75" customHeight="1" x14ac:dyDescent="0.25">
      <c r="B150"/>
      <c r="C150"/>
      <c r="D150"/>
      <c r="E150"/>
      <c r="F150"/>
      <c r="G150" s="94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 s="54" customFormat="1" ht="15.75" customHeight="1" x14ac:dyDescent="0.25">
      <c r="B151"/>
      <c r="C151"/>
      <c r="D151"/>
      <c r="E151"/>
      <c r="F151"/>
      <c r="G151" s="94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 s="54" customFormat="1" ht="15.75" customHeight="1" x14ac:dyDescent="0.25">
      <c r="B152"/>
      <c r="C152"/>
      <c r="D152"/>
      <c r="E152"/>
      <c r="F152"/>
      <c r="G152" s="94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 s="54" customFormat="1" ht="15.75" customHeight="1" x14ac:dyDescent="0.25">
      <c r="B153"/>
      <c r="C153"/>
      <c r="D153"/>
      <c r="E153"/>
      <c r="F153"/>
      <c r="G153" s="94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 s="54" customFormat="1" ht="15.75" customHeight="1" x14ac:dyDescent="0.25">
      <c r="B154"/>
      <c r="C154"/>
      <c r="D154"/>
      <c r="E154"/>
      <c r="F154"/>
      <c r="G154" s="9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 s="54" customFormat="1" ht="15.75" customHeight="1" x14ac:dyDescent="0.25">
      <c r="B155"/>
      <c r="C155"/>
      <c r="D155"/>
      <c r="E155"/>
      <c r="F155"/>
      <c r="G155" s="94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 s="54" customFormat="1" ht="15.75" customHeight="1" x14ac:dyDescent="0.25">
      <c r="B156"/>
      <c r="C156"/>
      <c r="D156"/>
      <c r="E156"/>
      <c r="F156"/>
      <c r="G156" s="94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 s="54" customFormat="1" ht="15.75" customHeight="1" x14ac:dyDescent="0.25">
      <c r="B157"/>
      <c r="C157"/>
      <c r="D157"/>
      <c r="E157"/>
      <c r="F157"/>
      <c r="G157" s="94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 s="54" customFormat="1" ht="15.75" customHeight="1" x14ac:dyDescent="0.25">
      <c r="B158"/>
      <c r="C158"/>
      <c r="D158"/>
      <c r="E158"/>
      <c r="F158"/>
      <c r="G158" s="94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 s="54" customFormat="1" ht="15.75" customHeight="1" x14ac:dyDescent="0.25">
      <c r="B159"/>
      <c r="C159"/>
      <c r="D159"/>
      <c r="E159"/>
      <c r="F159"/>
      <c r="G159" s="94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 s="54" customFormat="1" ht="15.75" customHeight="1" x14ac:dyDescent="0.25">
      <c r="B160"/>
      <c r="C160"/>
      <c r="D160"/>
      <c r="E160"/>
      <c r="F160"/>
      <c r="G160" s="94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 s="54" customFormat="1" ht="15.75" customHeight="1" x14ac:dyDescent="0.25">
      <c r="B161"/>
      <c r="C161"/>
      <c r="D161"/>
      <c r="E161"/>
      <c r="F161"/>
      <c r="G161" s="94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 s="54" customFormat="1" ht="15.75" customHeight="1" x14ac:dyDescent="0.25">
      <c r="B162"/>
      <c r="C162"/>
      <c r="D162"/>
      <c r="E162"/>
      <c r="F162"/>
      <c r="G162" s="94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 s="54" customFormat="1" ht="15.75" customHeight="1" x14ac:dyDescent="0.25">
      <c r="B163"/>
      <c r="C163"/>
      <c r="D163"/>
      <c r="E163"/>
      <c r="F163"/>
      <c r="G163" s="94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 s="54" customFormat="1" ht="15.75" customHeight="1" x14ac:dyDescent="0.25">
      <c r="B164"/>
      <c r="C164"/>
      <c r="D164"/>
      <c r="E164"/>
      <c r="F164"/>
      <c r="G164" s="9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 s="54" customFormat="1" ht="15.75" customHeight="1" x14ac:dyDescent="0.25">
      <c r="B165"/>
      <c r="C165"/>
      <c r="D165"/>
      <c r="E165"/>
      <c r="F165"/>
      <c r="G165" s="94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 s="54" customFormat="1" ht="15.75" customHeight="1" x14ac:dyDescent="0.25">
      <c r="B166"/>
      <c r="C166"/>
      <c r="D166"/>
      <c r="E166"/>
      <c r="F166"/>
      <c r="G166" s="94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 s="54" customFormat="1" ht="15.75" customHeight="1" x14ac:dyDescent="0.25">
      <c r="B167"/>
      <c r="C167"/>
      <c r="D167"/>
      <c r="E167"/>
      <c r="F167"/>
      <c r="G167" s="94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 s="54" customFormat="1" ht="15.75" customHeight="1" x14ac:dyDescent="0.25">
      <c r="B168"/>
      <c r="C168"/>
      <c r="D168"/>
      <c r="E168"/>
      <c r="F168"/>
      <c r="G168" s="94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 s="54" customFormat="1" ht="15.75" customHeight="1" x14ac:dyDescent="0.25">
      <c r="B169"/>
      <c r="C169"/>
      <c r="D169"/>
      <c r="E169"/>
      <c r="F169"/>
      <c r="G169" s="94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 s="54" customFormat="1" ht="15.75" customHeight="1" x14ac:dyDescent="0.25">
      <c r="B170"/>
      <c r="C170"/>
      <c r="D170"/>
      <c r="E170"/>
      <c r="F170"/>
      <c r="G170" s="94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 s="54" customFormat="1" ht="15.75" customHeight="1" x14ac:dyDescent="0.25">
      <c r="B171"/>
      <c r="C171"/>
      <c r="D171"/>
      <c r="E171"/>
      <c r="F171"/>
      <c r="G171" s="94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 s="54" customFormat="1" ht="15.75" customHeight="1" x14ac:dyDescent="0.25">
      <c r="B172"/>
      <c r="C172"/>
      <c r="D172"/>
      <c r="E172"/>
      <c r="F172"/>
      <c r="G172" s="94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 s="54" customFormat="1" ht="15.75" customHeight="1" x14ac:dyDescent="0.25">
      <c r="B173"/>
      <c r="C173"/>
      <c r="D173"/>
      <c r="E173"/>
      <c r="F173"/>
      <c r="G173" s="94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 s="54" customFormat="1" ht="15.75" customHeight="1" x14ac:dyDescent="0.25">
      <c r="B174"/>
      <c r="C174"/>
      <c r="D174"/>
      <c r="E174"/>
      <c r="F174"/>
      <c r="G174" s="9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 s="54" customFormat="1" ht="15.75" customHeight="1" x14ac:dyDescent="0.25">
      <c r="B175"/>
      <c r="C175"/>
      <c r="D175"/>
      <c r="E175"/>
      <c r="F175"/>
      <c r="G175" s="94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 s="54" customFormat="1" ht="15.75" customHeight="1" x14ac:dyDescent="0.25">
      <c r="B176"/>
      <c r="C176"/>
      <c r="D176"/>
      <c r="E176"/>
      <c r="F176"/>
      <c r="G176" s="94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 s="54" customFormat="1" ht="15.75" customHeight="1" x14ac:dyDescent="0.25">
      <c r="B177"/>
      <c r="C177"/>
      <c r="D177"/>
      <c r="E177"/>
      <c r="F177"/>
      <c r="G177" s="94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 s="54" customFormat="1" ht="15.75" customHeight="1" x14ac:dyDescent="0.25">
      <c r="B178"/>
      <c r="C178"/>
      <c r="D178"/>
      <c r="E178"/>
      <c r="F178"/>
      <c r="G178" s="94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 s="54" customFormat="1" ht="15.75" customHeight="1" x14ac:dyDescent="0.25">
      <c r="B179"/>
      <c r="C179"/>
      <c r="D179"/>
      <c r="E179"/>
      <c r="F179"/>
      <c r="G179" s="94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 s="54" customFormat="1" ht="15.75" customHeight="1" x14ac:dyDescent="0.25">
      <c r="B180"/>
      <c r="C180"/>
      <c r="D180"/>
      <c r="E180"/>
      <c r="F180"/>
      <c r="G180" s="94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 s="54" customFormat="1" ht="15.75" customHeight="1" x14ac:dyDescent="0.25">
      <c r="B181"/>
      <c r="C181"/>
      <c r="D181"/>
      <c r="E181"/>
      <c r="F181"/>
      <c r="G181" s="94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 s="54" customFormat="1" ht="15.75" customHeight="1" x14ac:dyDescent="0.25">
      <c r="B182"/>
      <c r="C182"/>
      <c r="D182"/>
      <c r="E182"/>
      <c r="F182"/>
      <c r="G182" s="94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 s="54" customFormat="1" ht="15.75" customHeight="1" x14ac:dyDescent="0.25">
      <c r="B183"/>
      <c r="C183"/>
      <c r="D183"/>
      <c r="E183"/>
      <c r="F183"/>
      <c r="G183" s="94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 s="54" customFormat="1" ht="15.75" customHeight="1" x14ac:dyDescent="0.25">
      <c r="B184"/>
      <c r="C184"/>
      <c r="D184"/>
      <c r="E184"/>
      <c r="F184"/>
      <c r="G184" s="9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 s="54" customFormat="1" ht="15.75" customHeight="1" x14ac:dyDescent="0.25">
      <c r="B185"/>
      <c r="C185"/>
      <c r="D185"/>
      <c r="E185"/>
      <c r="F185"/>
      <c r="G185" s="94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 s="54" customFormat="1" ht="15.75" customHeight="1" x14ac:dyDescent="0.25">
      <c r="B186"/>
      <c r="C186"/>
      <c r="D186"/>
      <c r="E186"/>
      <c r="F186"/>
      <c r="G186" s="94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 s="54" customFormat="1" ht="15.75" customHeight="1" x14ac:dyDescent="0.25">
      <c r="B187"/>
      <c r="C187"/>
      <c r="D187"/>
      <c r="E187"/>
      <c r="F187"/>
      <c r="G187" s="94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 s="54" customFormat="1" ht="15.75" customHeight="1" x14ac:dyDescent="0.25">
      <c r="B188"/>
      <c r="C188"/>
      <c r="D188"/>
      <c r="E188"/>
      <c r="F188"/>
      <c r="G188" s="94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2:42" s="54" customFormat="1" ht="15.75" customHeight="1" x14ac:dyDescent="0.25">
      <c r="B189"/>
      <c r="C189"/>
      <c r="D189"/>
      <c r="E189"/>
      <c r="F189"/>
      <c r="G189" s="94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2:42" s="54" customFormat="1" ht="15.75" customHeight="1" x14ac:dyDescent="0.25">
      <c r="B190"/>
      <c r="C190"/>
      <c r="D190"/>
      <c r="E190"/>
      <c r="F190"/>
      <c r="G190" s="94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2:42" s="54" customFormat="1" ht="15.75" customHeight="1" x14ac:dyDescent="0.25">
      <c r="B191"/>
      <c r="C191"/>
      <c r="D191"/>
      <c r="E191"/>
      <c r="F191"/>
      <c r="G191" s="94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2:42" s="54" customFormat="1" ht="15.75" customHeight="1" x14ac:dyDescent="0.25">
      <c r="B192"/>
      <c r="C192"/>
      <c r="D192"/>
      <c r="E192"/>
      <c r="F192"/>
      <c r="G192" s="94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2:42" s="54" customFormat="1" ht="15.75" customHeight="1" x14ac:dyDescent="0.25">
      <c r="B193"/>
      <c r="C193"/>
      <c r="D193"/>
      <c r="E193"/>
      <c r="F193"/>
      <c r="G193" s="94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2:42" s="54" customFormat="1" ht="15.75" customHeight="1" x14ac:dyDescent="0.25">
      <c r="B194"/>
      <c r="C194"/>
      <c r="D194"/>
      <c r="E194"/>
      <c r="F194"/>
      <c r="G194" s="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2:42" s="54" customFormat="1" ht="15.75" customHeight="1" x14ac:dyDescent="0.25">
      <c r="B195"/>
      <c r="C195"/>
      <c r="D195"/>
      <c r="E195"/>
      <c r="F195"/>
      <c r="G195" s="94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2:42" s="54" customFormat="1" ht="15.75" customHeight="1" x14ac:dyDescent="0.25">
      <c r="B196"/>
      <c r="C196"/>
      <c r="D196"/>
      <c r="E196"/>
      <c r="F196"/>
      <c r="G196" s="94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2:42" s="54" customFormat="1" ht="15.75" customHeight="1" x14ac:dyDescent="0.25">
      <c r="B197"/>
      <c r="C197"/>
      <c r="D197"/>
      <c r="E197"/>
      <c r="F197"/>
      <c r="G197" s="94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2:42" s="54" customFormat="1" ht="15.75" customHeight="1" x14ac:dyDescent="0.25">
      <c r="B198"/>
      <c r="C198"/>
      <c r="D198"/>
      <c r="E198"/>
      <c r="F198"/>
      <c r="G198" s="94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2:42" s="54" customFormat="1" ht="15.75" customHeight="1" x14ac:dyDescent="0.25">
      <c r="B199"/>
      <c r="C199"/>
      <c r="D199"/>
      <c r="E199"/>
      <c r="F199"/>
      <c r="G199" s="94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2:42" s="54" customFormat="1" ht="15.75" customHeight="1" x14ac:dyDescent="0.25">
      <c r="B200"/>
      <c r="C200"/>
      <c r="D200"/>
      <c r="E200"/>
      <c r="F200"/>
      <c r="G200" s="94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2:42" s="54" customFormat="1" ht="15.75" customHeight="1" x14ac:dyDescent="0.25">
      <c r="B201"/>
      <c r="C201"/>
      <c r="D201"/>
      <c r="E201"/>
      <c r="F201"/>
      <c r="G201" s="94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2:42" s="54" customFormat="1" ht="15.75" customHeight="1" x14ac:dyDescent="0.25">
      <c r="B202"/>
      <c r="C202"/>
      <c r="D202"/>
      <c r="E202"/>
      <c r="F202"/>
      <c r="G202" s="94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2:42" s="54" customFormat="1" ht="15.75" customHeight="1" x14ac:dyDescent="0.25">
      <c r="B203"/>
      <c r="C203"/>
      <c r="D203"/>
      <c r="E203"/>
      <c r="F203"/>
      <c r="G203" s="94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2:42" s="54" customFormat="1" ht="15.75" customHeight="1" x14ac:dyDescent="0.25">
      <c r="B204"/>
      <c r="C204"/>
      <c r="D204"/>
      <c r="E204"/>
      <c r="F204"/>
      <c r="G204" s="9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2:42" s="54" customFormat="1" ht="15.75" customHeight="1" x14ac:dyDescent="0.25">
      <c r="B205"/>
      <c r="C205"/>
      <c r="D205"/>
      <c r="E205"/>
      <c r="F205"/>
      <c r="G205" s="94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2:42" s="54" customFormat="1" ht="15.75" customHeight="1" x14ac:dyDescent="0.25">
      <c r="B206"/>
      <c r="C206"/>
      <c r="D206"/>
      <c r="E206"/>
      <c r="F206"/>
      <c r="G206" s="94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2:42" s="54" customFormat="1" ht="15.75" customHeight="1" x14ac:dyDescent="0.25">
      <c r="B207"/>
      <c r="C207"/>
      <c r="D207"/>
      <c r="E207"/>
      <c r="F207"/>
      <c r="G207" s="94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2:42" s="54" customFormat="1" ht="15.75" customHeight="1" x14ac:dyDescent="0.25">
      <c r="B208"/>
      <c r="C208"/>
      <c r="D208"/>
      <c r="E208"/>
      <c r="F208"/>
      <c r="G208" s="94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2:42" s="54" customFormat="1" ht="15.75" customHeight="1" x14ac:dyDescent="0.25">
      <c r="B209"/>
      <c r="C209"/>
      <c r="D209"/>
      <c r="E209"/>
      <c r="F209"/>
      <c r="G209" s="94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2:42" s="54" customFormat="1" ht="15.75" customHeight="1" x14ac:dyDescent="0.25">
      <c r="B210"/>
      <c r="C210"/>
      <c r="D210"/>
      <c r="E210"/>
      <c r="F210"/>
      <c r="G210" s="94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2:42" s="54" customFormat="1" ht="15.75" customHeight="1" x14ac:dyDescent="0.25">
      <c r="B211"/>
      <c r="C211"/>
      <c r="D211"/>
      <c r="E211"/>
      <c r="F211"/>
      <c r="G211" s="94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2:42" s="54" customFormat="1" ht="15.75" customHeight="1" x14ac:dyDescent="0.25">
      <c r="B212"/>
      <c r="C212"/>
      <c r="D212"/>
      <c r="E212"/>
      <c r="F212"/>
      <c r="G212" s="94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2:42" s="54" customFormat="1" ht="15.75" customHeight="1" x14ac:dyDescent="0.25">
      <c r="B213"/>
      <c r="C213"/>
      <c r="D213"/>
      <c r="E213"/>
      <c r="F213"/>
      <c r="G213" s="94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2:42" s="54" customFormat="1" ht="15.75" customHeight="1" x14ac:dyDescent="0.25">
      <c r="B214"/>
      <c r="C214"/>
      <c r="D214"/>
      <c r="E214"/>
      <c r="F214"/>
      <c r="G214" s="9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2:42" s="54" customFormat="1" ht="15.75" customHeight="1" x14ac:dyDescent="0.25">
      <c r="B215"/>
      <c r="C215"/>
      <c r="D215"/>
      <c r="E215"/>
      <c r="F215"/>
      <c r="G215" s="94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2:42" s="54" customFormat="1" ht="15.75" customHeight="1" x14ac:dyDescent="0.25">
      <c r="B216"/>
      <c r="C216"/>
      <c r="D216"/>
      <c r="E216"/>
      <c r="F216"/>
      <c r="G216" s="94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2:42" s="54" customFormat="1" ht="15.75" customHeight="1" x14ac:dyDescent="0.25">
      <c r="B217"/>
      <c r="C217"/>
      <c r="D217"/>
      <c r="E217"/>
      <c r="F217"/>
      <c r="G217" s="94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2:42" s="54" customFormat="1" ht="15.75" customHeight="1" x14ac:dyDescent="0.25">
      <c r="B218"/>
      <c r="C218"/>
      <c r="D218"/>
      <c r="E218"/>
      <c r="F218"/>
      <c r="G218" s="94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2:42" s="54" customFormat="1" ht="15.75" customHeight="1" x14ac:dyDescent="0.25">
      <c r="B219"/>
      <c r="C219"/>
      <c r="D219"/>
      <c r="E219"/>
      <c r="F219"/>
      <c r="G219" s="94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2:42" s="54" customFormat="1" ht="15.75" customHeight="1" x14ac:dyDescent="0.25">
      <c r="B220"/>
      <c r="C220"/>
      <c r="D220"/>
      <c r="E220"/>
      <c r="F220"/>
      <c r="G220" s="94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2:42" s="54" customFormat="1" ht="15.75" customHeight="1" x14ac:dyDescent="0.25">
      <c r="B221"/>
      <c r="C221"/>
      <c r="D221"/>
      <c r="E221"/>
      <c r="F221"/>
      <c r="G221" s="94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2:42" s="54" customFormat="1" ht="15.75" customHeight="1" x14ac:dyDescent="0.25">
      <c r="B222"/>
      <c r="C222"/>
      <c r="D222"/>
      <c r="E222"/>
      <c r="F222"/>
      <c r="G222" s="94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2:42" s="54" customFormat="1" ht="15.75" customHeight="1" x14ac:dyDescent="0.25">
      <c r="B223"/>
      <c r="C223"/>
      <c r="D223"/>
      <c r="E223"/>
      <c r="F223"/>
      <c r="G223" s="94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2:42" s="54" customFormat="1" ht="15.75" customHeight="1" x14ac:dyDescent="0.25">
      <c r="B224"/>
      <c r="C224"/>
      <c r="D224"/>
      <c r="E224"/>
      <c r="F224"/>
      <c r="G224" s="9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2:42" s="54" customFormat="1" ht="15.75" customHeight="1" x14ac:dyDescent="0.25">
      <c r="B225"/>
      <c r="C225"/>
      <c r="D225"/>
      <c r="E225"/>
      <c r="F225"/>
      <c r="G225" s="94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2:42" s="54" customFormat="1" ht="15.75" customHeight="1" x14ac:dyDescent="0.25">
      <c r="B226"/>
      <c r="C226"/>
      <c r="D226"/>
      <c r="E226"/>
      <c r="F226"/>
      <c r="G226" s="94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2:42" s="54" customFormat="1" ht="15.75" customHeight="1" x14ac:dyDescent="0.25">
      <c r="B227"/>
      <c r="C227"/>
      <c r="D227"/>
      <c r="E227"/>
      <c r="F227"/>
      <c r="G227" s="94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2:42" s="54" customFormat="1" ht="15.75" customHeight="1" x14ac:dyDescent="0.25">
      <c r="B228"/>
      <c r="C228"/>
      <c r="D228"/>
      <c r="E228"/>
      <c r="F228"/>
      <c r="G228" s="94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2:42" s="54" customFormat="1" ht="15.75" customHeight="1" x14ac:dyDescent="0.25">
      <c r="B229"/>
      <c r="C229"/>
      <c r="D229"/>
      <c r="E229"/>
      <c r="F229"/>
      <c r="G229" s="94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2:42" s="54" customFormat="1" ht="15.75" customHeight="1" x14ac:dyDescent="0.25">
      <c r="B230"/>
      <c r="C230"/>
      <c r="D230"/>
      <c r="E230"/>
      <c r="F230"/>
      <c r="G230" s="94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2:42" s="54" customFormat="1" ht="15.75" customHeight="1" x14ac:dyDescent="0.25">
      <c r="B231"/>
      <c r="C231"/>
      <c r="D231"/>
      <c r="E231"/>
      <c r="F231"/>
      <c r="G231" s="94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2:42" s="54" customFormat="1" ht="15.75" customHeight="1" x14ac:dyDescent="0.25">
      <c r="B232"/>
      <c r="C232"/>
      <c r="D232"/>
      <c r="E232"/>
      <c r="F232"/>
      <c r="G232" s="94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2:42" s="54" customFormat="1" ht="15.75" customHeight="1" x14ac:dyDescent="0.25">
      <c r="B233"/>
      <c r="C233"/>
      <c r="D233"/>
      <c r="E233"/>
      <c r="F233"/>
      <c r="G233" s="94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2:42" s="54" customFormat="1" ht="15.75" customHeight="1" x14ac:dyDescent="0.25">
      <c r="B234"/>
      <c r="C234"/>
      <c r="D234"/>
      <c r="E234"/>
      <c r="F234"/>
      <c r="G234" s="9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2:42" s="54" customFormat="1" ht="15.75" customHeight="1" x14ac:dyDescent="0.25">
      <c r="B235"/>
      <c r="C235"/>
      <c r="D235"/>
      <c r="E235"/>
      <c r="F235"/>
      <c r="G235" s="94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2:42" s="54" customFormat="1" ht="15.75" customHeight="1" x14ac:dyDescent="0.25">
      <c r="B236"/>
      <c r="C236"/>
      <c r="D236"/>
      <c r="E236"/>
      <c r="F236"/>
      <c r="G236" s="94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2:42" s="54" customFormat="1" ht="15.75" customHeight="1" x14ac:dyDescent="0.25">
      <c r="B237"/>
      <c r="C237"/>
      <c r="D237"/>
      <c r="E237"/>
      <c r="F237"/>
      <c r="G237" s="94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2:42" s="54" customFormat="1" ht="15.75" customHeight="1" x14ac:dyDescent="0.25">
      <c r="B238"/>
      <c r="C238"/>
      <c r="D238"/>
      <c r="E238"/>
      <c r="F238"/>
      <c r="G238" s="94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2:42" s="54" customFormat="1" ht="15.75" customHeight="1" x14ac:dyDescent="0.25">
      <c r="B239"/>
      <c r="C239"/>
      <c r="D239"/>
      <c r="E239"/>
      <c r="F239"/>
      <c r="G239" s="94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2:42" s="54" customFormat="1" ht="15.75" customHeight="1" x14ac:dyDescent="0.25">
      <c r="B240"/>
      <c r="C240"/>
      <c r="D240"/>
      <c r="E240"/>
      <c r="F240"/>
      <c r="G240" s="94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2:42" s="54" customFormat="1" ht="15.75" customHeight="1" x14ac:dyDescent="0.25">
      <c r="B241"/>
      <c r="C241"/>
      <c r="D241"/>
      <c r="E241"/>
      <c r="F241"/>
      <c r="G241" s="94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  <row r="242" spans="2:42" s="54" customFormat="1" ht="15.75" customHeight="1" x14ac:dyDescent="0.25">
      <c r="B242"/>
      <c r="C242"/>
      <c r="D242"/>
      <c r="E242"/>
      <c r="F242"/>
      <c r="G242" s="94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</row>
    <row r="243" spans="2:42" s="54" customFormat="1" ht="15.75" customHeight="1" x14ac:dyDescent="0.25">
      <c r="B243"/>
      <c r="C243"/>
      <c r="D243"/>
      <c r="E243"/>
      <c r="F243"/>
      <c r="G243" s="94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</row>
    <row r="244" spans="2:42" s="54" customFormat="1" ht="15.75" customHeight="1" x14ac:dyDescent="0.25">
      <c r="B244"/>
      <c r="C244"/>
      <c r="D244"/>
      <c r="E244"/>
      <c r="F244"/>
      <c r="G244" s="9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</row>
    <row r="245" spans="2:42" s="54" customFormat="1" ht="15.75" customHeight="1" x14ac:dyDescent="0.25">
      <c r="B245"/>
      <c r="C245"/>
      <c r="D245"/>
      <c r="E245"/>
      <c r="F245"/>
      <c r="G245" s="94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</row>
    <row r="246" spans="2:42" s="54" customFormat="1" ht="15.75" customHeight="1" x14ac:dyDescent="0.25">
      <c r="B246"/>
      <c r="C246"/>
      <c r="D246"/>
      <c r="E246"/>
      <c r="F246"/>
      <c r="G246" s="94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</row>
    <row r="247" spans="2:42" s="54" customFormat="1" ht="15.75" customHeight="1" x14ac:dyDescent="0.25">
      <c r="B247"/>
      <c r="C247"/>
      <c r="D247"/>
      <c r="E247"/>
      <c r="F247"/>
      <c r="G247" s="94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</row>
    <row r="248" spans="2:42" s="54" customFormat="1" ht="15.75" customHeight="1" x14ac:dyDescent="0.25">
      <c r="B248"/>
      <c r="C248"/>
      <c r="D248"/>
      <c r="E248"/>
      <c r="F248"/>
      <c r="G248" s="94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</row>
    <row r="249" spans="2:42" s="54" customFormat="1" ht="15.75" customHeight="1" x14ac:dyDescent="0.25">
      <c r="B249"/>
      <c r="C249"/>
      <c r="D249"/>
      <c r="E249"/>
      <c r="F249"/>
      <c r="G249" s="94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</row>
    <row r="250" spans="2:42" s="54" customFormat="1" ht="15.75" customHeight="1" x14ac:dyDescent="0.25">
      <c r="B250"/>
      <c r="C250"/>
      <c r="D250"/>
      <c r="E250"/>
      <c r="F250"/>
      <c r="G250" s="94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</row>
    <row r="251" spans="2:42" s="54" customFormat="1" ht="15.75" customHeight="1" x14ac:dyDescent="0.25">
      <c r="B251"/>
      <c r="C251"/>
      <c r="D251"/>
      <c r="E251"/>
      <c r="F251"/>
      <c r="G251" s="94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</row>
    <row r="252" spans="2:42" s="54" customFormat="1" ht="15.75" customHeight="1" x14ac:dyDescent="0.25">
      <c r="B252"/>
      <c r="C252"/>
      <c r="D252"/>
      <c r="E252"/>
      <c r="F252"/>
      <c r="G252" s="94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</row>
    <row r="253" spans="2:42" s="54" customFormat="1" ht="15.75" customHeight="1" x14ac:dyDescent="0.25">
      <c r="B253"/>
      <c r="C253"/>
      <c r="D253"/>
      <c r="E253"/>
      <c r="F253"/>
      <c r="G253" s="94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</row>
    <row r="254" spans="2:42" s="54" customFormat="1" ht="15.75" customHeight="1" x14ac:dyDescent="0.25">
      <c r="B254"/>
      <c r="C254"/>
      <c r="D254"/>
      <c r="E254"/>
      <c r="F254"/>
      <c r="G254" s="9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</row>
    <row r="255" spans="2:42" s="54" customFormat="1" ht="15.75" customHeight="1" x14ac:dyDescent="0.25">
      <c r="B255"/>
      <c r="C255"/>
      <c r="D255"/>
      <c r="E255"/>
      <c r="F255"/>
      <c r="G255" s="94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</row>
    <row r="256" spans="2:42" s="54" customFormat="1" ht="15.75" customHeight="1" x14ac:dyDescent="0.25">
      <c r="B256"/>
      <c r="C256"/>
      <c r="D256"/>
      <c r="E256"/>
      <c r="F256"/>
      <c r="G256" s="94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</row>
    <row r="257" spans="2:42" s="54" customFormat="1" ht="15.75" customHeight="1" x14ac:dyDescent="0.25">
      <c r="B257"/>
      <c r="C257"/>
      <c r="D257"/>
      <c r="E257"/>
      <c r="F257"/>
      <c r="G257" s="94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</row>
    <row r="258" spans="2:42" s="54" customFormat="1" ht="15.75" customHeight="1" x14ac:dyDescent="0.25">
      <c r="B258"/>
      <c r="C258"/>
      <c r="D258"/>
      <c r="E258"/>
      <c r="F258"/>
      <c r="G258" s="94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</row>
    <row r="259" spans="2:42" s="54" customFormat="1" ht="15.75" customHeight="1" x14ac:dyDescent="0.25">
      <c r="B259"/>
      <c r="C259"/>
      <c r="D259"/>
      <c r="E259"/>
      <c r="F259"/>
      <c r="G259" s="94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</row>
    <row r="260" spans="2:42" s="54" customFormat="1" ht="15.75" customHeight="1" x14ac:dyDescent="0.25">
      <c r="B260"/>
      <c r="C260"/>
      <c r="D260"/>
      <c r="E260"/>
      <c r="F260"/>
      <c r="G260" s="94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</row>
    <row r="261" spans="2:42" s="54" customFormat="1" ht="15.75" customHeight="1" x14ac:dyDescent="0.25">
      <c r="B261"/>
      <c r="C261"/>
      <c r="D261"/>
      <c r="E261"/>
      <c r="F261"/>
      <c r="G261" s="94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</row>
    <row r="262" spans="2:42" s="54" customFormat="1" ht="15.75" customHeight="1" x14ac:dyDescent="0.25">
      <c r="B262"/>
      <c r="C262"/>
      <c r="D262"/>
      <c r="E262"/>
      <c r="F262"/>
      <c r="G262" s="94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</row>
    <row r="263" spans="2:42" s="54" customFormat="1" ht="15.75" customHeight="1" x14ac:dyDescent="0.25">
      <c r="B263"/>
      <c r="C263"/>
      <c r="D263"/>
      <c r="E263"/>
      <c r="F263"/>
      <c r="G263" s="94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</row>
    <row r="264" spans="2:42" s="54" customFormat="1" ht="15.75" customHeight="1" x14ac:dyDescent="0.25">
      <c r="B264"/>
      <c r="C264"/>
      <c r="D264"/>
      <c r="E264"/>
      <c r="F264"/>
      <c r="G264" s="9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</row>
    <row r="265" spans="2:42" s="54" customFormat="1" ht="15.75" customHeight="1" x14ac:dyDescent="0.25">
      <c r="B265"/>
      <c r="C265"/>
      <c r="D265"/>
      <c r="E265"/>
      <c r="F265"/>
      <c r="G265" s="94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</row>
    <row r="266" spans="2:42" s="54" customFormat="1" ht="15.75" customHeight="1" x14ac:dyDescent="0.25">
      <c r="B266"/>
      <c r="C266"/>
      <c r="D266"/>
      <c r="E266"/>
      <c r="F266"/>
      <c r="G266" s="94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</row>
    <row r="267" spans="2:42" s="54" customFormat="1" ht="15.75" customHeight="1" x14ac:dyDescent="0.25">
      <c r="B267"/>
      <c r="C267"/>
      <c r="D267"/>
      <c r="E267"/>
      <c r="F267"/>
      <c r="G267" s="94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</row>
    <row r="268" spans="2:42" s="54" customFormat="1" ht="15.75" customHeight="1" x14ac:dyDescent="0.25">
      <c r="B268"/>
      <c r="C268"/>
      <c r="D268"/>
      <c r="E268"/>
      <c r="F268"/>
      <c r="G268" s="94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</row>
    <row r="269" spans="2:42" s="54" customFormat="1" ht="15.75" customHeight="1" x14ac:dyDescent="0.25">
      <c r="B269"/>
      <c r="C269"/>
      <c r="D269"/>
      <c r="E269"/>
      <c r="F269"/>
      <c r="G269" s="94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</row>
    <row r="270" spans="2:42" s="54" customFormat="1" ht="15.75" customHeight="1" x14ac:dyDescent="0.25">
      <c r="B270"/>
      <c r="C270"/>
      <c r="D270"/>
      <c r="E270"/>
      <c r="F270"/>
      <c r="G270" s="94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</row>
    <row r="271" spans="2:42" s="54" customFormat="1" ht="15.75" customHeight="1" x14ac:dyDescent="0.25">
      <c r="B271"/>
      <c r="C271"/>
      <c r="D271"/>
      <c r="E271"/>
      <c r="F271"/>
      <c r="G271" s="94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</row>
    <row r="272" spans="2:42" s="54" customFormat="1" ht="15.75" customHeight="1" x14ac:dyDescent="0.25">
      <c r="B272"/>
      <c r="C272"/>
      <c r="D272"/>
      <c r="E272"/>
      <c r="F272"/>
      <c r="G272" s="94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</row>
    <row r="273" spans="2:42" s="54" customFormat="1" ht="15.75" customHeight="1" x14ac:dyDescent="0.25">
      <c r="B273"/>
      <c r="C273"/>
      <c r="D273"/>
      <c r="E273"/>
      <c r="F273"/>
      <c r="G273" s="94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</row>
    <row r="274" spans="2:42" s="54" customFormat="1" ht="15.75" customHeight="1" x14ac:dyDescent="0.25">
      <c r="B274"/>
      <c r="C274"/>
      <c r="D274"/>
      <c r="E274"/>
      <c r="F274"/>
      <c r="G274" s="9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</row>
    <row r="275" spans="2:42" s="54" customFormat="1" ht="15.75" customHeight="1" x14ac:dyDescent="0.25">
      <c r="B275"/>
      <c r="C275"/>
      <c r="D275"/>
      <c r="E275"/>
      <c r="F275"/>
      <c r="G275" s="94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</row>
    <row r="276" spans="2:42" s="54" customFormat="1" ht="15.75" customHeight="1" x14ac:dyDescent="0.25">
      <c r="B276"/>
      <c r="C276"/>
      <c r="D276"/>
      <c r="E276"/>
      <c r="F276"/>
      <c r="G276" s="94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</row>
    <row r="277" spans="2:42" s="54" customFormat="1" ht="15.75" customHeight="1" x14ac:dyDescent="0.25">
      <c r="B277"/>
      <c r="C277"/>
      <c r="D277"/>
      <c r="E277"/>
      <c r="F277"/>
      <c r="G277" s="94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</row>
    <row r="278" spans="2:42" s="54" customFormat="1" ht="15.75" customHeight="1" x14ac:dyDescent="0.25">
      <c r="B278"/>
      <c r="C278"/>
      <c r="D278"/>
      <c r="E278"/>
      <c r="F278"/>
      <c r="G278" s="94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</row>
    <row r="279" spans="2:42" s="54" customFormat="1" ht="15.75" customHeight="1" x14ac:dyDescent="0.25">
      <c r="B279"/>
      <c r="C279"/>
      <c r="D279"/>
      <c r="E279"/>
      <c r="F279"/>
      <c r="G279" s="94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</row>
    <row r="280" spans="2:42" s="54" customFormat="1" ht="15.75" customHeight="1" x14ac:dyDescent="0.25">
      <c r="B280"/>
      <c r="C280"/>
      <c r="D280"/>
      <c r="E280"/>
      <c r="F280"/>
      <c r="G280" s="94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</row>
    <row r="281" spans="2:42" s="54" customFormat="1" ht="15.75" customHeight="1" x14ac:dyDescent="0.25">
      <c r="B281"/>
      <c r="C281"/>
      <c r="D281"/>
      <c r="E281"/>
      <c r="F281"/>
      <c r="G281" s="94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</row>
    <row r="282" spans="2:42" s="54" customFormat="1" ht="15.75" customHeight="1" x14ac:dyDescent="0.25">
      <c r="B282"/>
      <c r="C282"/>
      <c r="D282"/>
      <c r="E282"/>
      <c r="F282"/>
      <c r="G282" s="94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</row>
    <row r="283" spans="2:42" s="54" customFormat="1" ht="15.75" customHeight="1" x14ac:dyDescent="0.25">
      <c r="B283"/>
      <c r="C283"/>
      <c r="D283"/>
      <c r="E283"/>
      <c r="F283"/>
      <c r="G283" s="94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</row>
    <row r="284" spans="2:42" s="54" customFormat="1" ht="15.75" customHeight="1" x14ac:dyDescent="0.25">
      <c r="B284"/>
      <c r="C284"/>
      <c r="D284"/>
      <c r="E284"/>
      <c r="F284"/>
      <c r="G284" s="9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</row>
    <row r="285" spans="2:42" s="54" customFormat="1" ht="15.75" customHeight="1" x14ac:dyDescent="0.25">
      <c r="B285"/>
      <c r="C285"/>
      <c r="D285"/>
      <c r="E285"/>
      <c r="F285"/>
      <c r="G285" s="94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</row>
    <row r="286" spans="2:42" s="54" customFormat="1" ht="15.75" customHeight="1" x14ac:dyDescent="0.25">
      <c r="B286"/>
      <c r="C286"/>
      <c r="D286"/>
      <c r="E286"/>
      <c r="F286"/>
      <c r="G286" s="94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</row>
    <row r="287" spans="2:42" s="54" customFormat="1" ht="15.75" customHeight="1" x14ac:dyDescent="0.25">
      <c r="B287"/>
      <c r="C287"/>
      <c r="D287"/>
      <c r="E287"/>
      <c r="F287"/>
      <c r="G287" s="94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</row>
    <row r="288" spans="2:42" s="54" customFormat="1" ht="15.75" customHeight="1" x14ac:dyDescent="0.25">
      <c r="B288"/>
      <c r="C288"/>
      <c r="D288"/>
      <c r="E288"/>
      <c r="F288"/>
      <c r="G288" s="94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</row>
    <row r="289" spans="2:42" s="54" customFormat="1" ht="15.75" customHeight="1" x14ac:dyDescent="0.25">
      <c r="B289"/>
      <c r="C289"/>
      <c r="D289"/>
      <c r="E289"/>
      <c r="F289"/>
      <c r="G289" s="94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</row>
    <row r="290" spans="2:42" s="54" customFormat="1" ht="15.75" customHeight="1" x14ac:dyDescent="0.25">
      <c r="B290"/>
      <c r="C290"/>
      <c r="D290"/>
      <c r="E290"/>
      <c r="F290"/>
      <c r="G290" s="94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</row>
    <row r="291" spans="2:42" s="54" customFormat="1" ht="15.75" customHeight="1" x14ac:dyDescent="0.25">
      <c r="B291"/>
      <c r="C291"/>
      <c r="D291"/>
      <c r="E291"/>
      <c r="F291"/>
      <c r="G291" s="94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</row>
    <row r="292" spans="2:42" s="54" customFormat="1" ht="15.75" customHeight="1" x14ac:dyDescent="0.25">
      <c r="B292"/>
      <c r="C292"/>
      <c r="D292"/>
      <c r="E292"/>
      <c r="F292"/>
      <c r="G292" s="94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</row>
    <row r="293" spans="2:42" s="54" customFormat="1" ht="15.75" customHeight="1" x14ac:dyDescent="0.25">
      <c r="B293"/>
      <c r="C293"/>
      <c r="D293"/>
      <c r="E293"/>
      <c r="F293"/>
      <c r="G293" s="94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</row>
    <row r="294" spans="2:42" s="54" customFormat="1" ht="15.75" customHeight="1" x14ac:dyDescent="0.25">
      <c r="B294"/>
      <c r="C294"/>
      <c r="D294"/>
      <c r="E294"/>
      <c r="F294"/>
      <c r="G294" s="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</row>
    <row r="295" spans="2:42" s="54" customFormat="1" ht="15.75" customHeight="1" x14ac:dyDescent="0.25">
      <c r="B295"/>
      <c r="C295"/>
      <c r="D295"/>
      <c r="E295"/>
      <c r="F295"/>
      <c r="G295" s="94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</row>
    <row r="296" spans="2:42" s="54" customFormat="1" ht="15.75" customHeight="1" x14ac:dyDescent="0.25">
      <c r="B296"/>
      <c r="C296"/>
      <c r="D296"/>
      <c r="E296"/>
      <c r="F296"/>
      <c r="G296" s="94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</row>
    <row r="297" spans="2:42" s="54" customFormat="1" ht="15.75" customHeight="1" x14ac:dyDescent="0.25">
      <c r="B297"/>
      <c r="C297"/>
      <c r="D297"/>
      <c r="E297"/>
      <c r="F297"/>
      <c r="G297" s="94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</row>
    <row r="298" spans="2:42" s="54" customFormat="1" ht="15.75" customHeight="1" x14ac:dyDescent="0.25">
      <c r="B298"/>
      <c r="C298"/>
      <c r="D298"/>
      <c r="E298"/>
      <c r="F298"/>
      <c r="G298" s="94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</row>
    <row r="299" spans="2:42" s="54" customFormat="1" ht="15.75" customHeight="1" x14ac:dyDescent="0.25">
      <c r="B299"/>
      <c r="C299"/>
      <c r="D299"/>
      <c r="E299"/>
      <c r="F299"/>
      <c r="G299" s="94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</row>
    <row r="300" spans="2:42" s="54" customFormat="1" ht="15.75" customHeight="1" x14ac:dyDescent="0.25">
      <c r="B300"/>
      <c r="C300"/>
      <c r="D300"/>
      <c r="E300"/>
      <c r="F300"/>
      <c r="G300" s="94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</row>
    <row r="301" spans="2:42" s="54" customFormat="1" ht="15.75" customHeight="1" x14ac:dyDescent="0.25">
      <c r="B301"/>
      <c r="C301"/>
      <c r="D301"/>
      <c r="E301"/>
      <c r="F301"/>
      <c r="G301" s="94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</row>
    <row r="302" spans="2:42" s="54" customFormat="1" ht="15.75" customHeight="1" x14ac:dyDescent="0.25">
      <c r="B302"/>
      <c r="C302"/>
      <c r="D302"/>
      <c r="E302"/>
      <c r="F302"/>
      <c r="G302" s="94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</row>
    <row r="303" spans="2:42" s="54" customFormat="1" ht="15.75" customHeight="1" x14ac:dyDescent="0.25">
      <c r="B303"/>
      <c r="C303"/>
      <c r="D303"/>
      <c r="E303"/>
      <c r="F303"/>
      <c r="G303" s="94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</row>
    <row r="304" spans="2:42" s="54" customFormat="1" ht="15.75" customHeight="1" x14ac:dyDescent="0.25">
      <c r="B304"/>
      <c r="C304"/>
      <c r="D304"/>
      <c r="E304"/>
      <c r="F304"/>
      <c r="G304" s="9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</row>
    <row r="305" spans="2:42" s="54" customFormat="1" ht="15.75" customHeight="1" x14ac:dyDescent="0.25">
      <c r="B305"/>
      <c r="C305"/>
      <c r="D305"/>
      <c r="E305"/>
      <c r="F305"/>
      <c r="G305" s="94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</row>
    <row r="306" spans="2:42" s="54" customFormat="1" ht="15.75" customHeight="1" x14ac:dyDescent="0.25">
      <c r="B306"/>
      <c r="C306"/>
      <c r="D306"/>
      <c r="E306"/>
      <c r="F306"/>
      <c r="G306" s="94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</row>
    <row r="307" spans="2:42" s="54" customFormat="1" ht="15.75" customHeight="1" x14ac:dyDescent="0.25">
      <c r="B307"/>
      <c r="C307"/>
      <c r="D307"/>
      <c r="E307"/>
      <c r="F307"/>
      <c r="G307" s="94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</row>
    <row r="308" spans="2:42" s="54" customFormat="1" ht="15.75" customHeight="1" x14ac:dyDescent="0.25">
      <c r="B308"/>
      <c r="C308"/>
      <c r="D308"/>
      <c r="E308"/>
      <c r="F308"/>
      <c r="G308" s="94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</row>
    <row r="309" spans="2:42" s="54" customFormat="1" ht="15.75" customHeight="1" x14ac:dyDescent="0.25">
      <c r="B309"/>
      <c r="C309"/>
      <c r="D309"/>
      <c r="E309"/>
      <c r="F309"/>
      <c r="G309" s="94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</row>
    <row r="310" spans="2:42" s="54" customFormat="1" ht="15.75" customHeight="1" x14ac:dyDescent="0.25">
      <c r="B310"/>
      <c r="C310"/>
      <c r="D310"/>
      <c r="E310"/>
      <c r="F310"/>
      <c r="G310" s="94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</row>
    <row r="311" spans="2:42" s="54" customFormat="1" ht="15.75" customHeight="1" x14ac:dyDescent="0.25">
      <c r="B311"/>
      <c r="C311"/>
      <c r="D311"/>
      <c r="E311"/>
      <c r="F311"/>
      <c r="G311" s="94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</row>
    <row r="312" spans="2:42" s="54" customFormat="1" ht="15.75" customHeight="1" x14ac:dyDescent="0.25">
      <c r="B312"/>
      <c r="C312"/>
      <c r="D312"/>
      <c r="E312"/>
      <c r="F312"/>
      <c r="G312" s="94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</row>
    <row r="313" spans="2:42" s="54" customFormat="1" ht="15.75" customHeight="1" x14ac:dyDescent="0.25">
      <c r="B313"/>
      <c r="C313"/>
      <c r="D313"/>
      <c r="E313"/>
      <c r="F313"/>
      <c r="G313" s="94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</row>
    <row r="314" spans="2:42" s="54" customFormat="1" ht="15.75" customHeight="1" x14ac:dyDescent="0.25">
      <c r="B314"/>
      <c r="C314"/>
      <c r="D314"/>
      <c r="E314"/>
      <c r="F314"/>
      <c r="G314" s="9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</row>
    <row r="315" spans="2:42" s="54" customFormat="1" ht="15.75" customHeight="1" x14ac:dyDescent="0.25">
      <c r="B315"/>
      <c r="C315"/>
      <c r="D315"/>
      <c r="E315"/>
      <c r="F315"/>
      <c r="G315" s="94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</row>
    <row r="316" spans="2:42" s="54" customFormat="1" ht="15.75" customHeight="1" x14ac:dyDescent="0.25">
      <c r="B316"/>
      <c r="C316"/>
      <c r="D316"/>
      <c r="E316"/>
      <c r="F316"/>
      <c r="G316" s="94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</row>
    <row r="317" spans="2:42" s="54" customFormat="1" ht="15.75" customHeight="1" x14ac:dyDescent="0.25">
      <c r="B317"/>
      <c r="C317"/>
      <c r="D317"/>
      <c r="E317"/>
      <c r="F317"/>
      <c r="G317" s="94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</row>
    <row r="318" spans="2:42" s="54" customFormat="1" ht="15.75" customHeight="1" x14ac:dyDescent="0.25">
      <c r="B318"/>
      <c r="C318"/>
      <c r="D318"/>
      <c r="E318"/>
      <c r="F318"/>
      <c r="G318" s="94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</row>
    <row r="319" spans="2:42" s="54" customFormat="1" ht="15.75" customHeight="1" x14ac:dyDescent="0.25">
      <c r="B319"/>
      <c r="C319"/>
      <c r="D319"/>
      <c r="E319"/>
      <c r="F319"/>
      <c r="G319" s="94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</row>
    <row r="320" spans="2:42" s="54" customFormat="1" ht="15.75" customHeight="1" x14ac:dyDescent="0.25">
      <c r="B320"/>
      <c r="C320"/>
      <c r="D320"/>
      <c r="E320"/>
      <c r="F320"/>
      <c r="G320" s="94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</row>
    <row r="321" spans="2:42" s="54" customFormat="1" ht="15.75" customHeight="1" x14ac:dyDescent="0.25">
      <c r="B321"/>
      <c r="C321"/>
      <c r="D321"/>
      <c r="E321"/>
      <c r="F321"/>
      <c r="G321" s="94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</row>
    <row r="322" spans="2:42" s="54" customFormat="1" ht="15.75" customHeight="1" x14ac:dyDescent="0.25">
      <c r="B322"/>
      <c r="C322"/>
      <c r="D322"/>
      <c r="E322"/>
      <c r="F322"/>
      <c r="G322" s="94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</row>
    <row r="323" spans="2:42" s="54" customFormat="1" ht="15.75" customHeight="1" x14ac:dyDescent="0.25">
      <c r="B323"/>
      <c r="C323"/>
      <c r="D323"/>
      <c r="E323"/>
      <c r="F323"/>
      <c r="G323" s="94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</row>
    <row r="324" spans="2:42" s="54" customFormat="1" ht="15.75" customHeight="1" x14ac:dyDescent="0.25">
      <c r="B324"/>
      <c r="C324"/>
      <c r="D324"/>
      <c r="E324"/>
      <c r="F324"/>
      <c r="G324" s="9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</row>
    <row r="325" spans="2:42" s="54" customFormat="1" ht="15.75" customHeight="1" x14ac:dyDescent="0.25">
      <c r="B325"/>
      <c r="C325"/>
      <c r="D325"/>
      <c r="E325"/>
      <c r="F325"/>
      <c r="G325" s="94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</row>
    <row r="326" spans="2:42" s="54" customFormat="1" ht="15.75" customHeight="1" x14ac:dyDescent="0.25">
      <c r="B326"/>
      <c r="C326"/>
      <c r="D326"/>
      <c r="E326"/>
      <c r="F326"/>
      <c r="G326" s="94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</row>
    <row r="327" spans="2:42" s="54" customFormat="1" ht="15.75" customHeight="1" x14ac:dyDescent="0.25">
      <c r="B327"/>
      <c r="C327"/>
      <c r="D327"/>
      <c r="E327"/>
      <c r="F327"/>
      <c r="G327" s="94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</row>
    <row r="328" spans="2:42" s="54" customFormat="1" ht="15.75" customHeight="1" x14ac:dyDescent="0.25">
      <c r="B328"/>
      <c r="C328"/>
      <c r="D328"/>
      <c r="E328"/>
      <c r="F328"/>
      <c r="G328" s="94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</row>
    <row r="329" spans="2:42" s="54" customFormat="1" ht="15.75" customHeight="1" x14ac:dyDescent="0.25">
      <c r="B329"/>
      <c r="C329"/>
      <c r="D329"/>
      <c r="E329"/>
      <c r="F329"/>
      <c r="G329" s="94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</row>
    <row r="330" spans="2:42" s="54" customFormat="1" ht="15.75" customHeight="1" x14ac:dyDescent="0.25">
      <c r="B330"/>
      <c r="C330"/>
      <c r="D330"/>
      <c r="E330"/>
      <c r="F330"/>
      <c r="G330" s="94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</row>
    <row r="331" spans="2:42" s="54" customFormat="1" ht="15.75" customHeight="1" x14ac:dyDescent="0.25">
      <c r="B331"/>
      <c r="C331"/>
      <c r="D331"/>
      <c r="E331"/>
      <c r="F331"/>
      <c r="G331" s="94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</row>
    <row r="332" spans="2:42" s="54" customFormat="1" ht="15.75" customHeight="1" x14ac:dyDescent="0.25">
      <c r="B332"/>
      <c r="C332"/>
      <c r="D332"/>
      <c r="E332"/>
      <c r="F332"/>
      <c r="G332" s="94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</row>
    <row r="333" spans="2:42" s="54" customFormat="1" ht="15.75" customHeight="1" x14ac:dyDescent="0.25">
      <c r="B333"/>
      <c r="C333"/>
      <c r="D333"/>
      <c r="E333"/>
      <c r="F333"/>
      <c r="G333" s="94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</row>
    <row r="334" spans="2:42" s="54" customFormat="1" ht="15.75" customHeight="1" x14ac:dyDescent="0.25">
      <c r="B334"/>
      <c r="C334"/>
      <c r="D334"/>
      <c r="E334"/>
      <c r="F334"/>
      <c r="G334" s="9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</row>
    <row r="335" spans="2:42" s="54" customFormat="1" ht="15.75" customHeight="1" x14ac:dyDescent="0.25">
      <c r="B335"/>
      <c r="C335"/>
      <c r="D335"/>
      <c r="E335"/>
      <c r="F335"/>
      <c r="G335" s="94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</row>
    <row r="336" spans="2:42" s="54" customFormat="1" ht="15.75" customHeight="1" x14ac:dyDescent="0.25">
      <c r="B336"/>
      <c r="C336"/>
      <c r="D336"/>
      <c r="E336"/>
      <c r="F336"/>
      <c r="G336" s="94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</row>
    <row r="337" spans="2:42" s="54" customFormat="1" ht="15.75" customHeight="1" x14ac:dyDescent="0.25">
      <c r="B337"/>
      <c r="C337"/>
      <c r="D337"/>
      <c r="E337"/>
      <c r="F337"/>
      <c r="G337" s="94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</row>
    <row r="338" spans="2:42" s="54" customFormat="1" ht="15.75" customHeight="1" x14ac:dyDescent="0.25">
      <c r="B338"/>
      <c r="C338"/>
      <c r="D338"/>
      <c r="E338"/>
      <c r="F338"/>
      <c r="G338" s="94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</row>
    <row r="339" spans="2:42" s="54" customFormat="1" ht="15.75" customHeight="1" x14ac:dyDescent="0.25">
      <c r="B339"/>
      <c r="C339"/>
      <c r="D339"/>
      <c r="E339"/>
      <c r="F339"/>
      <c r="G339" s="94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</row>
    <row r="340" spans="2:42" s="54" customFormat="1" ht="15.75" customHeight="1" x14ac:dyDescent="0.25">
      <c r="B340"/>
      <c r="C340"/>
      <c r="D340"/>
      <c r="E340"/>
      <c r="F340"/>
      <c r="G340" s="94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</row>
    <row r="341" spans="2:42" s="54" customFormat="1" ht="15.75" customHeight="1" x14ac:dyDescent="0.25">
      <c r="B341"/>
      <c r="C341"/>
      <c r="D341"/>
      <c r="E341"/>
      <c r="F341"/>
      <c r="G341" s="94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</row>
    <row r="342" spans="2:42" s="54" customFormat="1" ht="15.75" customHeight="1" x14ac:dyDescent="0.25">
      <c r="B342"/>
      <c r="C342"/>
      <c r="D342"/>
      <c r="E342"/>
      <c r="F342"/>
      <c r="G342" s="94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</row>
    <row r="343" spans="2:42" s="54" customFormat="1" ht="15.75" customHeight="1" x14ac:dyDescent="0.25">
      <c r="B343"/>
      <c r="C343"/>
      <c r="D343"/>
      <c r="E343"/>
      <c r="F343"/>
      <c r="G343" s="94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</row>
    <row r="344" spans="2:42" s="54" customFormat="1" ht="15.75" customHeight="1" x14ac:dyDescent="0.25">
      <c r="B344"/>
      <c r="C344"/>
      <c r="D344"/>
      <c r="E344"/>
      <c r="F344"/>
      <c r="G344" s="9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</row>
    <row r="345" spans="2:42" s="54" customFormat="1" ht="15.75" customHeight="1" x14ac:dyDescent="0.25">
      <c r="B345"/>
      <c r="C345"/>
      <c r="D345"/>
      <c r="E345"/>
      <c r="F345"/>
      <c r="G345" s="94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</row>
    <row r="346" spans="2:42" s="54" customFormat="1" ht="15.75" customHeight="1" x14ac:dyDescent="0.25">
      <c r="B346"/>
      <c r="C346"/>
      <c r="D346"/>
      <c r="E346"/>
      <c r="F346"/>
      <c r="G346" s="94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</row>
    <row r="347" spans="2:42" s="54" customFormat="1" ht="15.75" customHeight="1" x14ac:dyDescent="0.25">
      <c r="B347"/>
      <c r="C347"/>
      <c r="D347"/>
      <c r="E347"/>
      <c r="F347"/>
      <c r="G347" s="94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</row>
    <row r="348" spans="2:42" s="54" customFormat="1" ht="15.75" customHeight="1" x14ac:dyDescent="0.25">
      <c r="B348"/>
      <c r="C348"/>
      <c r="D348"/>
      <c r="E348"/>
      <c r="F348"/>
      <c r="G348" s="94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</row>
    <row r="349" spans="2:42" s="54" customFormat="1" ht="15.75" customHeight="1" x14ac:dyDescent="0.25">
      <c r="B349"/>
      <c r="C349"/>
      <c r="D349"/>
      <c r="E349"/>
      <c r="F349"/>
      <c r="G349" s="94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</row>
    <row r="350" spans="2:42" s="54" customFormat="1" ht="15.75" customHeight="1" x14ac:dyDescent="0.25">
      <c r="B350"/>
      <c r="C350"/>
      <c r="D350"/>
      <c r="E350"/>
      <c r="F350"/>
      <c r="G350" s="94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</row>
    <row r="351" spans="2:42" s="54" customFormat="1" ht="15.75" customHeight="1" x14ac:dyDescent="0.25">
      <c r="B351"/>
      <c r="C351"/>
      <c r="D351"/>
      <c r="E351"/>
      <c r="F351"/>
      <c r="G351" s="94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</row>
    <row r="352" spans="2:42" s="54" customFormat="1" ht="15.75" customHeight="1" x14ac:dyDescent="0.25">
      <c r="B352"/>
      <c r="C352"/>
      <c r="D352"/>
      <c r="E352"/>
      <c r="F352"/>
      <c r="G352" s="94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</row>
    <row r="353" spans="2:42" s="54" customFormat="1" ht="15.75" customHeight="1" x14ac:dyDescent="0.25">
      <c r="B353"/>
      <c r="C353"/>
      <c r="D353"/>
      <c r="E353"/>
      <c r="F353"/>
      <c r="G353" s="94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</row>
    <row r="354" spans="2:42" s="54" customFormat="1" ht="15.75" customHeight="1" x14ac:dyDescent="0.25">
      <c r="B354"/>
      <c r="C354"/>
      <c r="D354"/>
      <c r="E354"/>
      <c r="F354"/>
      <c r="G354" s="9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</row>
    <row r="355" spans="2:42" s="54" customFormat="1" ht="15.75" customHeight="1" x14ac:dyDescent="0.25">
      <c r="B355"/>
      <c r="C355"/>
      <c r="D355"/>
      <c r="E355"/>
      <c r="F355"/>
      <c r="G355" s="94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</row>
    <row r="356" spans="2:42" s="54" customFormat="1" ht="15.75" customHeight="1" x14ac:dyDescent="0.25">
      <c r="B356"/>
      <c r="C356"/>
      <c r="D356"/>
      <c r="E356"/>
      <c r="F356"/>
      <c r="G356" s="94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</row>
    <row r="357" spans="2:42" s="54" customFormat="1" ht="15.75" customHeight="1" x14ac:dyDescent="0.25">
      <c r="B357"/>
      <c r="C357"/>
      <c r="D357"/>
      <c r="E357"/>
      <c r="F357"/>
      <c r="G357" s="94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</row>
    <row r="358" spans="2:42" s="54" customFormat="1" ht="15.75" customHeight="1" x14ac:dyDescent="0.25">
      <c r="B358"/>
      <c r="C358"/>
      <c r="D358"/>
      <c r="E358"/>
      <c r="F358"/>
      <c r="G358" s="94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</row>
    <row r="359" spans="2:42" s="54" customFormat="1" ht="15.75" customHeight="1" x14ac:dyDescent="0.25">
      <c r="B359"/>
      <c r="C359"/>
      <c r="D359"/>
      <c r="E359"/>
      <c r="F359"/>
      <c r="G359" s="94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</row>
    <row r="360" spans="2:42" s="54" customFormat="1" ht="15.75" customHeight="1" x14ac:dyDescent="0.25">
      <c r="B360"/>
      <c r="C360"/>
      <c r="D360"/>
      <c r="E360"/>
      <c r="F360"/>
      <c r="G360" s="94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</row>
    <row r="361" spans="2:42" s="54" customFormat="1" ht="15.75" customHeight="1" x14ac:dyDescent="0.25">
      <c r="B361"/>
      <c r="C361"/>
      <c r="D361"/>
      <c r="E361"/>
      <c r="F361"/>
      <c r="G361" s="94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</row>
    <row r="362" spans="2:42" s="54" customFormat="1" ht="15.75" customHeight="1" x14ac:dyDescent="0.25">
      <c r="B362"/>
      <c r="C362"/>
      <c r="D362"/>
      <c r="E362"/>
      <c r="F362"/>
      <c r="G362" s="94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</row>
    <row r="363" spans="2:42" s="54" customFormat="1" ht="15.75" customHeight="1" x14ac:dyDescent="0.25">
      <c r="B363"/>
      <c r="C363"/>
      <c r="D363"/>
      <c r="E363"/>
      <c r="F363"/>
      <c r="G363" s="94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</row>
    <row r="364" spans="2:42" s="54" customFormat="1" ht="15.75" customHeight="1" x14ac:dyDescent="0.25">
      <c r="B364"/>
      <c r="C364"/>
      <c r="D364"/>
      <c r="E364"/>
      <c r="F364"/>
      <c r="G364" s="9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</row>
    <row r="365" spans="2:42" s="54" customFormat="1" ht="15.75" customHeight="1" x14ac:dyDescent="0.25">
      <c r="B365"/>
      <c r="C365"/>
      <c r="D365"/>
      <c r="E365"/>
      <c r="F365"/>
      <c r="G365" s="94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</row>
    <row r="366" spans="2:42" s="54" customFormat="1" ht="15.75" customHeight="1" x14ac:dyDescent="0.25">
      <c r="B366"/>
      <c r="C366"/>
      <c r="D366"/>
      <c r="E366"/>
      <c r="F366"/>
      <c r="G366" s="94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</row>
    <row r="367" spans="2:42" s="54" customFormat="1" ht="15.75" customHeight="1" x14ac:dyDescent="0.25">
      <c r="B367"/>
      <c r="C367"/>
      <c r="D367"/>
      <c r="E367"/>
      <c r="F367"/>
      <c r="G367" s="94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</row>
    <row r="368" spans="2:42" s="54" customFormat="1" ht="15.75" customHeight="1" x14ac:dyDescent="0.25">
      <c r="B368"/>
      <c r="C368"/>
      <c r="D368"/>
      <c r="E368"/>
      <c r="F368"/>
      <c r="G368" s="94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</row>
    <row r="369" spans="2:42" s="54" customFormat="1" ht="15.75" customHeight="1" x14ac:dyDescent="0.25">
      <c r="B369"/>
      <c r="C369"/>
      <c r="D369"/>
      <c r="E369"/>
      <c r="F369"/>
      <c r="G369" s="94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</row>
    <row r="370" spans="2:42" s="54" customFormat="1" ht="15.75" customHeight="1" x14ac:dyDescent="0.25">
      <c r="B370"/>
      <c r="C370"/>
      <c r="D370"/>
      <c r="E370"/>
      <c r="F370"/>
      <c r="G370" s="94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</row>
    <row r="371" spans="2:42" s="54" customFormat="1" ht="15.75" customHeight="1" x14ac:dyDescent="0.25">
      <c r="B371"/>
      <c r="C371"/>
      <c r="D371"/>
      <c r="E371"/>
      <c r="F371"/>
      <c r="G371" s="94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</row>
    <row r="372" spans="2:42" s="54" customFormat="1" ht="15.75" customHeight="1" x14ac:dyDescent="0.25">
      <c r="B372"/>
      <c r="C372"/>
      <c r="D372"/>
      <c r="E372"/>
      <c r="F372"/>
      <c r="G372" s="94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</row>
    <row r="373" spans="2:42" s="54" customFormat="1" ht="15.75" customHeight="1" x14ac:dyDescent="0.25">
      <c r="B373"/>
      <c r="C373"/>
      <c r="D373"/>
      <c r="E373"/>
      <c r="F373"/>
      <c r="G373" s="94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</row>
    <row r="374" spans="2:42" s="54" customFormat="1" ht="15.75" customHeight="1" x14ac:dyDescent="0.25">
      <c r="B374"/>
      <c r="C374"/>
      <c r="D374"/>
      <c r="E374"/>
      <c r="F374"/>
      <c r="G374" s="9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</row>
    <row r="375" spans="2:42" s="54" customFormat="1" ht="15.75" customHeight="1" x14ac:dyDescent="0.25">
      <c r="B375"/>
      <c r="C375"/>
      <c r="D375"/>
      <c r="E375"/>
      <c r="F375"/>
      <c r="G375" s="94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</row>
    <row r="376" spans="2:42" s="54" customFormat="1" ht="15.75" customHeight="1" x14ac:dyDescent="0.25">
      <c r="B376"/>
      <c r="C376"/>
      <c r="D376"/>
      <c r="E376"/>
      <c r="F376"/>
      <c r="G376" s="94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</row>
    <row r="377" spans="2:42" s="54" customFormat="1" ht="15.75" customHeight="1" x14ac:dyDescent="0.25">
      <c r="B377"/>
      <c r="C377"/>
      <c r="D377"/>
      <c r="E377"/>
      <c r="F377"/>
      <c r="G377" s="94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</row>
    <row r="378" spans="2:42" s="54" customFormat="1" ht="15.75" customHeight="1" x14ac:dyDescent="0.25">
      <c r="B378"/>
      <c r="C378"/>
      <c r="D378"/>
      <c r="E378"/>
      <c r="F378"/>
      <c r="G378" s="94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</row>
    <row r="379" spans="2:42" s="54" customFormat="1" ht="15.75" customHeight="1" x14ac:dyDescent="0.25">
      <c r="B379"/>
      <c r="C379"/>
      <c r="D379"/>
      <c r="E379"/>
      <c r="F379"/>
      <c r="G379" s="94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</row>
    <row r="380" spans="2:42" s="54" customFormat="1" ht="15.75" customHeight="1" x14ac:dyDescent="0.25">
      <c r="B380"/>
      <c r="C380"/>
      <c r="D380"/>
      <c r="E380"/>
      <c r="F380"/>
      <c r="G380" s="94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</row>
    <row r="381" spans="2:42" s="54" customFormat="1" ht="15.75" customHeight="1" x14ac:dyDescent="0.25">
      <c r="B381"/>
      <c r="C381"/>
      <c r="D381"/>
      <c r="E381"/>
      <c r="F381"/>
      <c r="G381" s="94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</row>
    <row r="382" spans="2:42" s="54" customFormat="1" ht="15.75" customHeight="1" x14ac:dyDescent="0.25">
      <c r="B382"/>
      <c r="C382"/>
      <c r="D382"/>
      <c r="E382"/>
      <c r="F382"/>
      <c r="G382" s="94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</row>
    <row r="383" spans="2:42" s="54" customFormat="1" ht="15.75" customHeight="1" x14ac:dyDescent="0.25">
      <c r="B383"/>
      <c r="C383"/>
      <c r="D383"/>
      <c r="E383"/>
      <c r="F383"/>
      <c r="G383" s="94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</row>
    <row r="384" spans="2:42" s="54" customFormat="1" ht="15.75" customHeight="1" x14ac:dyDescent="0.25">
      <c r="B384"/>
      <c r="C384"/>
      <c r="D384"/>
      <c r="E384"/>
      <c r="F384"/>
      <c r="G384" s="9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</row>
    <row r="385" spans="2:42" s="54" customFormat="1" ht="15.75" customHeight="1" x14ac:dyDescent="0.25">
      <c r="B385"/>
      <c r="C385"/>
      <c r="D385"/>
      <c r="E385"/>
      <c r="F385"/>
      <c r="G385" s="94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</row>
    <row r="386" spans="2:42" s="54" customFormat="1" ht="15.75" customHeight="1" x14ac:dyDescent="0.25">
      <c r="B386"/>
      <c r="C386"/>
      <c r="D386"/>
      <c r="E386"/>
      <c r="F386"/>
      <c r="G386" s="94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</row>
    <row r="387" spans="2:42" s="54" customFormat="1" ht="15.75" customHeight="1" x14ac:dyDescent="0.25">
      <c r="B387"/>
      <c r="C387"/>
      <c r="D387"/>
      <c r="E387"/>
      <c r="F387"/>
      <c r="G387" s="94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</row>
    <row r="388" spans="2:42" s="54" customFormat="1" ht="15.75" customHeight="1" x14ac:dyDescent="0.25">
      <c r="B388"/>
      <c r="C388"/>
      <c r="D388"/>
      <c r="E388"/>
      <c r="F388"/>
      <c r="G388" s="94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</row>
    <row r="389" spans="2:42" s="54" customFormat="1" ht="15.75" customHeight="1" x14ac:dyDescent="0.25">
      <c r="B389"/>
      <c r="C389"/>
      <c r="D389"/>
      <c r="E389"/>
      <c r="F389"/>
      <c r="G389" s="94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</row>
    <row r="390" spans="2:42" s="54" customFormat="1" ht="15.75" customHeight="1" x14ac:dyDescent="0.25">
      <c r="B390"/>
      <c r="C390"/>
      <c r="D390"/>
      <c r="E390"/>
      <c r="F390"/>
      <c r="G390" s="94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</row>
    <row r="391" spans="2:42" s="54" customFormat="1" ht="15.75" customHeight="1" x14ac:dyDescent="0.25">
      <c r="B391"/>
      <c r="C391"/>
      <c r="D391"/>
      <c r="E391"/>
      <c r="F391"/>
      <c r="G391" s="94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</row>
    <row r="392" spans="2:42" s="54" customFormat="1" ht="15.75" customHeight="1" x14ac:dyDescent="0.25">
      <c r="B392"/>
      <c r="C392"/>
      <c r="D392"/>
      <c r="E392"/>
      <c r="F392"/>
      <c r="G392" s="94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</row>
    <row r="393" spans="2:42" s="54" customFormat="1" ht="15.75" customHeight="1" x14ac:dyDescent="0.25">
      <c r="B393"/>
      <c r="C393"/>
      <c r="D393"/>
      <c r="E393"/>
      <c r="F393"/>
      <c r="G393" s="94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</row>
    <row r="394" spans="2:42" s="54" customFormat="1" ht="15.75" customHeight="1" x14ac:dyDescent="0.25">
      <c r="B394"/>
      <c r="C394"/>
      <c r="D394"/>
      <c r="E394"/>
      <c r="F394"/>
      <c r="G394" s="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</row>
    <row r="395" spans="2:42" s="54" customFormat="1" ht="15.75" customHeight="1" x14ac:dyDescent="0.25">
      <c r="B395"/>
      <c r="C395"/>
      <c r="D395"/>
      <c r="E395"/>
      <c r="F395"/>
      <c r="G395" s="94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</row>
    <row r="396" spans="2:42" s="54" customFormat="1" ht="15.75" customHeight="1" x14ac:dyDescent="0.25">
      <c r="B396"/>
      <c r="C396"/>
      <c r="D396"/>
      <c r="E396"/>
      <c r="F396"/>
      <c r="G396" s="94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</row>
    <row r="397" spans="2:42" s="54" customFormat="1" ht="15.75" customHeight="1" x14ac:dyDescent="0.25">
      <c r="B397"/>
      <c r="C397"/>
      <c r="D397"/>
      <c r="E397"/>
      <c r="F397"/>
      <c r="G397" s="94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</row>
    <row r="398" spans="2:42" s="54" customFormat="1" ht="15.75" customHeight="1" x14ac:dyDescent="0.25">
      <c r="B398"/>
      <c r="C398"/>
      <c r="D398"/>
      <c r="E398"/>
      <c r="F398"/>
      <c r="G398" s="94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</row>
    <row r="399" spans="2:42" s="54" customFormat="1" ht="15.75" customHeight="1" x14ac:dyDescent="0.25">
      <c r="B399"/>
      <c r="C399"/>
      <c r="D399"/>
      <c r="E399"/>
      <c r="F399"/>
      <c r="G399" s="94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</row>
    <row r="400" spans="2:42" s="54" customFormat="1" ht="15.75" customHeight="1" x14ac:dyDescent="0.25">
      <c r="B400"/>
      <c r="C400"/>
      <c r="D400"/>
      <c r="E400"/>
      <c r="F400"/>
      <c r="G400" s="94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</row>
    <row r="401" spans="2:42" s="54" customFormat="1" ht="15.75" customHeight="1" x14ac:dyDescent="0.25">
      <c r="B401"/>
      <c r="C401"/>
      <c r="D401"/>
      <c r="E401"/>
      <c r="F401"/>
      <c r="G401" s="94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</row>
    <row r="402" spans="2:42" s="54" customFormat="1" ht="15.75" customHeight="1" x14ac:dyDescent="0.25">
      <c r="B402"/>
      <c r="C402"/>
      <c r="D402"/>
      <c r="E402"/>
      <c r="F402"/>
      <c r="G402" s="94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</row>
    <row r="403" spans="2:42" s="54" customFormat="1" ht="15.75" customHeight="1" x14ac:dyDescent="0.25">
      <c r="B403"/>
      <c r="C403"/>
      <c r="D403"/>
      <c r="E403"/>
      <c r="F403"/>
      <c r="G403" s="94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</row>
    <row r="404" spans="2:42" s="54" customFormat="1" ht="15.75" customHeight="1" x14ac:dyDescent="0.25">
      <c r="B404"/>
      <c r="C404"/>
      <c r="D404"/>
      <c r="E404"/>
      <c r="F404"/>
      <c r="G404" s="9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</row>
    <row r="405" spans="2:42" s="54" customFormat="1" ht="15.75" customHeight="1" x14ac:dyDescent="0.25">
      <c r="B405"/>
      <c r="C405"/>
      <c r="D405"/>
      <c r="E405"/>
      <c r="F405"/>
      <c r="G405" s="94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</row>
    <row r="406" spans="2:42" s="54" customFormat="1" ht="15.75" customHeight="1" x14ac:dyDescent="0.25">
      <c r="B406"/>
      <c r="C406"/>
      <c r="D406"/>
      <c r="E406"/>
      <c r="F406"/>
      <c r="G406" s="94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</row>
    <row r="407" spans="2:42" s="54" customFormat="1" ht="15.75" customHeight="1" x14ac:dyDescent="0.25">
      <c r="B407"/>
      <c r="C407"/>
      <c r="D407"/>
      <c r="E407"/>
      <c r="F407"/>
      <c r="G407" s="94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</row>
    <row r="408" spans="2:42" s="54" customFormat="1" ht="15.75" customHeight="1" x14ac:dyDescent="0.25">
      <c r="B408"/>
      <c r="C408"/>
      <c r="D408"/>
      <c r="E408"/>
      <c r="F408"/>
      <c r="G408" s="94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</row>
    <row r="409" spans="2:42" s="54" customFormat="1" ht="15.75" customHeight="1" x14ac:dyDescent="0.25">
      <c r="B409"/>
      <c r="C409"/>
      <c r="D409"/>
      <c r="E409"/>
      <c r="F409"/>
      <c r="G409" s="94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</row>
    <row r="410" spans="2:42" s="54" customFormat="1" ht="15.75" customHeight="1" x14ac:dyDescent="0.25">
      <c r="B410"/>
      <c r="C410"/>
      <c r="D410"/>
      <c r="E410"/>
      <c r="F410"/>
      <c r="G410" s="94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</row>
    <row r="411" spans="2:42" s="54" customFormat="1" ht="15.75" customHeight="1" x14ac:dyDescent="0.25">
      <c r="B411"/>
      <c r="C411"/>
      <c r="D411"/>
      <c r="E411"/>
      <c r="F411"/>
      <c r="G411" s="94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</row>
    <row r="412" spans="2:42" s="54" customFormat="1" ht="15.75" customHeight="1" x14ac:dyDescent="0.25">
      <c r="B412"/>
      <c r="C412"/>
      <c r="D412"/>
      <c r="E412"/>
      <c r="F412"/>
      <c r="G412" s="94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</row>
    <row r="413" spans="2:42" s="54" customFormat="1" ht="15.75" customHeight="1" x14ac:dyDescent="0.25">
      <c r="B413"/>
      <c r="C413"/>
      <c r="D413"/>
      <c r="E413"/>
      <c r="F413"/>
      <c r="G413" s="94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</row>
    <row r="414" spans="2:42" s="54" customFormat="1" ht="15.75" customHeight="1" x14ac:dyDescent="0.25">
      <c r="B414"/>
      <c r="C414"/>
      <c r="D414"/>
      <c r="E414"/>
      <c r="F414"/>
      <c r="G414" s="9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</row>
    <row r="415" spans="2:42" s="54" customFormat="1" ht="15.75" customHeight="1" x14ac:dyDescent="0.25">
      <c r="B415"/>
      <c r="C415"/>
      <c r="D415"/>
      <c r="E415"/>
      <c r="F415"/>
      <c r="G415" s="94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</row>
    <row r="416" spans="2:42" s="54" customFormat="1" ht="15.75" customHeight="1" x14ac:dyDescent="0.25">
      <c r="B416"/>
      <c r="C416"/>
      <c r="D416"/>
      <c r="E416"/>
      <c r="F416"/>
      <c r="G416" s="94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</row>
    <row r="417" spans="2:42" s="54" customFormat="1" ht="15.75" customHeight="1" x14ac:dyDescent="0.25">
      <c r="B417"/>
      <c r="C417"/>
      <c r="D417"/>
      <c r="E417"/>
      <c r="F417"/>
      <c r="G417" s="94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</row>
    <row r="418" spans="2:42" s="54" customFormat="1" ht="15.75" customHeight="1" x14ac:dyDescent="0.25">
      <c r="B418"/>
      <c r="C418"/>
      <c r="D418"/>
      <c r="E418"/>
      <c r="F418"/>
      <c r="G418" s="94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</row>
    <row r="419" spans="2:42" s="54" customFormat="1" ht="15.75" customHeight="1" x14ac:dyDescent="0.25">
      <c r="B419"/>
      <c r="C419"/>
      <c r="D419"/>
      <c r="E419"/>
      <c r="F419"/>
      <c r="G419" s="94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</row>
    <row r="420" spans="2:42" s="54" customFormat="1" ht="15.75" customHeight="1" x14ac:dyDescent="0.25">
      <c r="B420"/>
      <c r="C420"/>
      <c r="D420"/>
      <c r="E420"/>
      <c r="F420"/>
      <c r="G420" s="94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</row>
    <row r="421" spans="2:42" s="54" customFormat="1" ht="15.75" customHeight="1" x14ac:dyDescent="0.25">
      <c r="B421"/>
      <c r="C421"/>
      <c r="D421"/>
      <c r="E421"/>
      <c r="F421"/>
      <c r="G421" s="94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</row>
    <row r="422" spans="2:42" s="54" customFormat="1" ht="15.75" customHeight="1" x14ac:dyDescent="0.25">
      <c r="B422"/>
      <c r="C422"/>
      <c r="D422"/>
      <c r="E422"/>
      <c r="F422"/>
      <c r="G422" s="94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</row>
    <row r="423" spans="2:42" s="54" customFormat="1" ht="15.75" customHeight="1" x14ac:dyDescent="0.25">
      <c r="B423"/>
      <c r="C423"/>
      <c r="D423"/>
      <c r="E423"/>
      <c r="F423"/>
      <c r="G423" s="94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</row>
    <row r="424" spans="2:42" s="54" customFormat="1" ht="15.75" customHeight="1" x14ac:dyDescent="0.25">
      <c r="B424"/>
      <c r="C424"/>
      <c r="D424"/>
      <c r="E424"/>
      <c r="F424"/>
      <c r="G424" s="9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</row>
    <row r="425" spans="2:42" s="54" customFormat="1" ht="15.75" customHeight="1" x14ac:dyDescent="0.25">
      <c r="B425"/>
      <c r="C425"/>
      <c r="D425"/>
      <c r="E425"/>
      <c r="F425"/>
      <c r="G425" s="94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</row>
    <row r="426" spans="2:42" s="54" customFormat="1" ht="15.75" customHeight="1" x14ac:dyDescent="0.25">
      <c r="B426"/>
      <c r="C426"/>
      <c r="D426"/>
      <c r="E426"/>
      <c r="F426"/>
      <c r="G426" s="94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</row>
    <row r="427" spans="2:42" s="54" customFormat="1" ht="15.75" customHeight="1" x14ac:dyDescent="0.25">
      <c r="B427"/>
      <c r="C427"/>
      <c r="D427"/>
      <c r="E427"/>
      <c r="F427"/>
      <c r="G427" s="94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</row>
    <row r="428" spans="2:42" s="54" customFormat="1" ht="15.75" customHeight="1" x14ac:dyDescent="0.25">
      <c r="B428"/>
      <c r="C428"/>
      <c r="D428"/>
      <c r="E428"/>
      <c r="F428"/>
      <c r="G428" s="94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</row>
    <row r="429" spans="2:42" s="54" customFormat="1" ht="15.75" customHeight="1" x14ac:dyDescent="0.25">
      <c r="B429"/>
      <c r="C429"/>
      <c r="D429"/>
      <c r="E429"/>
      <c r="F429"/>
      <c r="G429" s="94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</row>
    <row r="430" spans="2:42" s="54" customFormat="1" ht="15.75" customHeight="1" x14ac:dyDescent="0.25">
      <c r="B430"/>
      <c r="C430"/>
      <c r="D430"/>
      <c r="E430"/>
      <c r="F430"/>
      <c r="G430" s="94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</row>
    <row r="431" spans="2:42" s="54" customFormat="1" ht="15.75" customHeight="1" x14ac:dyDescent="0.25">
      <c r="B431"/>
      <c r="C431"/>
      <c r="D431"/>
      <c r="E431"/>
      <c r="F431"/>
      <c r="G431" s="94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</row>
    <row r="432" spans="2:42" s="54" customFormat="1" ht="15.75" customHeight="1" x14ac:dyDescent="0.25">
      <c r="B432"/>
      <c r="C432"/>
      <c r="D432"/>
      <c r="E432"/>
      <c r="F432"/>
      <c r="G432" s="94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</row>
    <row r="433" spans="2:42" s="54" customFormat="1" ht="15.75" customHeight="1" x14ac:dyDescent="0.25">
      <c r="B433"/>
      <c r="C433"/>
      <c r="D433"/>
      <c r="E433"/>
      <c r="F433"/>
      <c r="G433" s="94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</row>
    <row r="434" spans="2:42" s="54" customFormat="1" ht="15.75" customHeight="1" x14ac:dyDescent="0.25">
      <c r="B434"/>
      <c r="C434"/>
      <c r="D434"/>
      <c r="E434"/>
      <c r="F434"/>
      <c r="G434" s="9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</row>
    <row r="435" spans="2:42" s="54" customFormat="1" ht="15.75" customHeight="1" x14ac:dyDescent="0.25">
      <c r="B435"/>
      <c r="C435"/>
      <c r="D435"/>
      <c r="E435"/>
      <c r="F435"/>
      <c r="G435" s="94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</row>
    <row r="436" spans="2:42" s="54" customFormat="1" ht="15.75" customHeight="1" x14ac:dyDescent="0.25">
      <c r="B436"/>
      <c r="C436"/>
      <c r="D436"/>
      <c r="E436"/>
      <c r="F436"/>
      <c r="G436" s="94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</row>
    <row r="437" spans="2:42" s="54" customFormat="1" ht="15.75" customHeight="1" x14ac:dyDescent="0.25">
      <c r="B437"/>
      <c r="C437"/>
      <c r="D437"/>
      <c r="E437"/>
      <c r="F437"/>
      <c r="G437" s="94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</row>
    <row r="438" spans="2:42" s="54" customFormat="1" ht="15.75" customHeight="1" x14ac:dyDescent="0.25">
      <c r="B438"/>
      <c r="C438"/>
      <c r="D438"/>
      <c r="E438"/>
      <c r="F438"/>
      <c r="G438" s="94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</row>
    <row r="439" spans="2:42" s="54" customFormat="1" ht="15.75" customHeight="1" x14ac:dyDescent="0.25">
      <c r="B439"/>
      <c r="C439"/>
      <c r="D439"/>
      <c r="E439"/>
      <c r="F439"/>
      <c r="G439" s="94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</row>
    <row r="440" spans="2:42" s="54" customFormat="1" ht="15.75" customHeight="1" x14ac:dyDescent="0.25">
      <c r="B440"/>
      <c r="C440"/>
      <c r="D440"/>
      <c r="E440"/>
      <c r="F440"/>
      <c r="G440" s="94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</row>
    <row r="441" spans="2:42" s="54" customFormat="1" ht="15.75" customHeight="1" x14ac:dyDescent="0.25">
      <c r="B441"/>
      <c r="C441"/>
      <c r="D441"/>
      <c r="E441"/>
      <c r="F441"/>
      <c r="G441" s="94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</row>
    <row r="442" spans="2:42" s="54" customFormat="1" ht="15.75" customHeight="1" x14ac:dyDescent="0.25">
      <c r="B442"/>
      <c r="C442"/>
      <c r="D442"/>
      <c r="E442"/>
      <c r="F442"/>
      <c r="G442" s="94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</row>
    <row r="443" spans="2:42" s="54" customFormat="1" ht="15.75" customHeight="1" x14ac:dyDescent="0.25">
      <c r="B443"/>
      <c r="C443"/>
      <c r="D443"/>
      <c r="E443"/>
      <c r="F443"/>
      <c r="G443" s="94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</row>
    <row r="444" spans="2:42" s="54" customFormat="1" ht="15.75" customHeight="1" x14ac:dyDescent="0.25">
      <c r="B444"/>
      <c r="C444"/>
      <c r="D444"/>
      <c r="E444"/>
      <c r="F444"/>
      <c r="G444" s="9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</row>
    <row r="445" spans="2:42" s="54" customFormat="1" ht="15.75" customHeight="1" x14ac:dyDescent="0.25">
      <c r="B445"/>
      <c r="C445"/>
      <c r="D445"/>
      <c r="E445"/>
      <c r="F445"/>
      <c r="G445" s="94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</row>
    <row r="446" spans="2:42" s="54" customFormat="1" ht="15.75" customHeight="1" x14ac:dyDescent="0.25">
      <c r="B446"/>
      <c r="C446"/>
      <c r="D446"/>
      <c r="E446"/>
      <c r="F446"/>
      <c r="G446" s="94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</row>
    <row r="447" spans="2:42" s="54" customFormat="1" ht="15.75" customHeight="1" x14ac:dyDescent="0.25">
      <c r="B447"/>
      <c r="C447"/>
      <c r="D447"/>
      <c r="E447"/>
      <c r="F447"/>
      <c r="G447" s="94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</row>
    <row r="448" spans="2:42" s="54" customFormat="1" ht="15.75" customHeight="1" x14ac:dyDescent="0.25">
      <c r="B448"/>
      <c r="C448"/>
      <c r="D448"/>
      <c r="E448"/>
      <c r="F448"/>
      <c r="G448" s="94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</row>
    <row r="449" spans="2:42" s="54" customFormat="1" ht="15.75" customHeight="1" x14ac:dyDescent="0.25">
      <c r="B449"/>
      <c r="C449"/>
      <c r="D449"/>
      <c r="E449"/>
      <c r="F449"/>
      <c r="G449" s="94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</row>
    <row r="450" spans="2:42" s="54" customFormat="1" ht="15.75" customHeight="1" x14ac:dyDescent="0.25">
      <c r="B450"/>
      <c r="C450"/>
      <c r="D450"/>
      <c r="E450"/>
      <c r="F450"/>
      <c r="G450" s="94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</row>
    <row r="451" spans="2:42" s="54" customFormat="1" ht="15.75" customHeight="1" x14ac:dyDescent="0.25">
      <c r="B451"/>
      <c r="C451"/>
      <c r="D451"/>
      <c r="E451"/>
      <c r="F451"/>
      <c r="G451" s="94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</row>
    <row r="452" spans="2:42" s="54" customFormat="1" ht="15.75" customHeight="1" x14ac:dyDescent="0.25">
      <c r="B452"/>
      <c r="C452"/>
      <c r="D452"/>
      <c r="E452"/>
      <c r="F452"/>
      <c r="G452" s="94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</row>
    <row r="453" spans="2:42" s="54" customFormat="1" ht="15.75" customHeight="1" x14ac:dyDescent="0.25">
      <c r="B453"/>
      <c r="C453"/>
      <c r="D453"/>
      <c r="E453"/>
      <c r="F453"/>
      <c r="G453" s="94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</row>
    <row r="454" spans="2:42" s="54" customFormat="1" ht="15.75" customHeight="1" x14ac:dyDescent="0.25">
      <c r="B454"/>
      <c r="C454"/>
      <c r="D454"/>
      <c r="E454"/>
      <c r="F454"/>
      <c r="G454" s="9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</row>
    <row r="455" spans="2:42" s="54" customFormat="1" ht="15.75" customHeight="1" x14ac:dyDescent="0.25">
      <c r="B455"/>
      <c r="C455"/>
      <c r="D455"/>
      <c r="E455"/>
      <c r="F455"/>
      <c r="G455" s="94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</row>
    <row r="456" spans="2:42" s="54" customFormat="1" ht="15.75" customHeight="1" x14ac:dyDescent="0.25">
      <c r="B456"/>
      <c r="C456"/>
      <c r="D456"/>
      <c r="E456"/>
      <c r="F456"/>
      <c r="G456" s="94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</row>
    <row r="457" spans="2:42" s="54" customFormat="1" ht="15.75" customHeight="1" x14ac:dyDescent="0.25">
      <c r="B457"/>
      <c r="C457"/>
      <c r="D457"/>
      <c r="E457"/>
      <c r="F457"/>
      <c r="G457" s="94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</row>
    <row r="458" spans="2:42" s="54" customFormat="1" ht="15.75" customHeight="1" x14ac:dyDescent="0.25">
      <c r="B458"/>
      <c r="C458"/>
      <c r="D458"/>
      <c r="E458"/>
      <c r="F458"/>
      <c r="G458" s="94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</row>
    <row r="459" spans="2:42" s="54" customFormat="1" ht="15.75" customHeight="1" x14ac:dyDescent="0.25">
      <c r="B459"/>
      <c r="C459"/>
      <c r="D459"/>
      <c r="E459"/>
      <c r="F459"/>
      <c r="G459" s="94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</row>
    <row r="460" spans="2:42" s="54" customFormat="1" ht="15.75" customHeight="1" x14ac:dyDescent="0.25">
      <c r="B460"/>
      <c r="C460"/>
      <c r="D460"/>
      <c r="E460"/>
      <c r="F460"/>
      <c r="G460" s="94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</row>
    <row r="461" spans="2:42" s="54" customFormat="1" ht="15.75" customHeight="1" x14ac:dyDescent="0.25">
      <c r="B461"/>
      <c r="C461"/>
      <c r="D461"/>
      <c r="E461"/>
      <c r="F461"/>
      <c r="G461" s="94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</row>
    <row r="462" spans="2:42" s="54" customFormat="1" ht="15.75" customHeight="1" x14ac:dyDescent="0.25">
      <c r="B462"/>
      <c r="C462"/>
      <c r="D462"/>
      <c r="E462"/>
      <c r="F462"/>
      <c r="G462" s="94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</row>
    <row r="463" spans="2:42" s="54" customFormat="1" ht="15.75" customHeight="1" x14ac:dyDescent="0.25">
      <c r="B463"/>
      <c r="C463"/>
      <c r="D463"/>
      <c r="E463"/>
      <c r="F463"/>
      <c r="G463" s="94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</row>
    <row r="464" spans="2:42" s="54" customFormat="1" ht="15.75" customHeight="1" x14ac:dyDescent="0.25">
      <c r="B464"/>
      <c r="C464"/>
      <c r="D464"/>
      <c r="E464"/>
      <c r="F464"/>
      <c r="G464" s="9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</row>
    <row r="465" spans="2:42" s="54" customFormat="1" ht="15.75" customHeight="1" x14ac:dyDescent="0.25">
      <c r="B465"/>
      <c r="C465"/>
      <c r="D465"/>
      <c r="E465"/>
      <c r="F465"/>
      <c r="G465" s="94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</row>
    <row r="466" spans="2:42" s="54" customFormat="1" ht="15.75" customHeight="1" x14ac:dyDescent="0.25">
      <c r="B466"/>
      <c r="C466"/>
      <c r="D466"/>
      <c r="E466"/>
      <c r="F466"/>
      <c r="G466" s="94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</row>
    <row r="467" spans="2:42" s="54" customFormat="1" ht="15.75" customHeight="1" x14ac:dyDescent="0.25">
      <c r="B467"/>
      <c r="C467"/>
      <c r="D467"/>
      <c r="E467"/>
      <c r="F467"/>
      <c r="G467" s="94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</row>
    <row r="468" spans="2:42" s="54" customFormat="1" ht="15.75" customHeight="1" x14ac:dyDescent="0.25">
      <c r="B468"/>
      <c r="C468"/>
      <c r="D468"/>
      <c r="E468"/>
      <c r="F468"/>
      <c r="G468" s="94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</row>
    <row r="469" spans="2:42" s="54" customFormat="1" ht="15.75" customHeight="1" x14ac:dyDescent="0.25">
      <c r="B469"/>
      <c r="C469"/>
      <c r="D469"/>
      <c r="E469"/>
      <c r="F469"/>
      <c r="G469" s="94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</row>
    <row r="470" spans="2:42" s="54" customFormat="1" ht="15.75" customHeight="1" x14ac:dyDescent="0.25">
      <c r="B470"/>
      <c r="C470"/>
      <c r="D470"/>
      <c r="E470"/>
      <c r="F470"/>
      <c r="G470" s="94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</row>
    <row r="471" spans="2:42" s="54" customFormat="1" ht="15.75" customHeight="1" x14ac:dyDescent="0.25">
      <c r="B471"/>
      <c r="C471"/>
      <c r="D471"/>
      <c r="E471"/>
      <c r="F471"/>
      <c r="G471" s="94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</row>
    <row r="472" spans="2:42" s="54" customFormat="1" ht="15.75" customHeight="1" x14ac:dyDescent="0.25">
      <c r="B472"/>
      <c r="C472"/>
      <c r="D472"/>
      <c r="E472"/>
      <c r="F472"/>
      <c r="G472" s="94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</row>
    <row r="473" spans="2:42" s="54" customFormat="1" ht="15.75" customHeight="1" x14ac:dyDescent="0.25">
      <c r="B473"/>
      <c r="C473"/>
      <c r="D473"/>
      <c r="E473"/>
      <c r="F473"/>
      <c r="G473" s="94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</row>
    <row r="474" spans="2:42" s="54" customFormat="1" ht="15.75" customHeight="1" x14ac:dyDescent="0.25">
      <c r="B474"/>
      <c r="C474"/>
      <c r="D474"/>
      <c r="E474"/>
      <c r="F474"/>
      <c r="G474" s="9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</row>
    <row r="475" spans="2:42" s="54" customFormat="1" ht="15.75" customHeight="1" x14ac:dyDescent="0.25">
      <c r="B475"/>
      <c r="C475"/>
      <c r="D475"/>
      <c r="E475"/>
      <c r="F475"/>
      <c r="G475" s="94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</row>
    <row r="476" spans="2:42" s="54" customFormat="1" ht="15.75" customHeight="1" x14ac:dyDescent="0.25">
      <c r="B476"/>
      <c r="C476"/>
      <c r="D476"/>
      <c r="E476"/>
      <c r="F476"/>
      <c r="G476" s="94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</row>
    <row r="477" spans="2:42" s="54" customFormat="1" ht="15.75" customHeight="1" x14ac:dyDescent="0.25">
      <c r="B477"/>
      <c r="C477"/>
      <c r="D477"/>
      <c r="E477"/>
      <c r="F477"/>
      <c r="G477" s="94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</row>
    <row r="478" spans="2:42" s="54" customFormat="1" ht="15.75" customHeight="1" x14ac:dyDescent="0.25">
      <c r="B478"/>
      <c r="C478"/>
      <c r="D478"/>
      <c r="E478"/>
      <c r="F478"/>
      <c r="G478" s="94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</row>
    <row r="479" spans="2:42" s="54" customFormat="1" ht="15.75" customHeight="1" x14ac:dyDescent="0.25">
      <c r="B479"/>
      <c r="C479"/>
      <c r="D479"/>
      <c r="E479"/>
      <c r="F479"/>
      <c r="G479" s="94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</row>
    <row r="480" spans="2:42" s="54" customFormat="1" ht="15.75" customHeight="1" x14ac:dyDescent="0.25">
      <c r="B480"/>
      <c r="C480"/>
      <c r="D480"/>
      <c r="E480"/>
      <c r="F480"/>
      <c r="G480" s="94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</row>
    <row r="481" spans="2:42" s="54" customFormat="1" ht="15.75" customHeight="1" x14ac:dyDescent="0.25">
      <c r="B481"/>
      <c r="C481"/>
      <c r="D481"/>
      <c r="E481"/>
      <c r="F481"/>
      <c r="G481" s="94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</row>
    <row r="482" spans="2:42" s="54" customFormat="1" ht="15.75" customHeight="1" x14ac:dyDescent="0.25">
      <c r="B482"/>
      <c r="C482"/>
      <c r="D482"/>
      <c r="E482"/>
      <c r="F482"/>
      <c r="G482" s="94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</row>
    <row r="483" spans="2:42" s="54" customFormat="1" ht="15.75" customHeight="1" x14ac:dyDescent="0.25">
      <c r="B483"/>
      <c r="C483"/>
      <c r="D483"/>
      <c r="E483"/>
      <c r="F483"/>
      <c r="G483" s="94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</row>
    <row r="484" spans="2:42" s="54" customFormat="1" ht="15.75" customHeight="1" x14ac:dyDescent="0.25">
      <c r="B484"/>
      <c r="C484"/>
      <c r="D484"/>
      <c r="E484"/>
      <c r="F484"/>
      <c r="G484" s="9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</row>
    <row r="485" spans="2:42" s="54" customFormat="1" ht="15.75" customHeight="1" x14ac:dyDescent="0.25">
      <c r="B485"/>
      <c r="C485"/>
      <c r="D485"/>
      <c r="E485"/>
      <c r="F485"/>
      <c r="G485" s="94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</row>
    <row r="486" spans="2:42" s="54" customFormat="1" ht="15.75" customHeight="1" x14ac:dyDescent="0.25">
      <c r="B486"/>
      <c r="C486"/>
      <c r="D486"/>
      <c r="E486"/>
      <c r="F486"/>
      <c r="G486" s="94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</row>
    <row r="487" spans="2:42" s="54" customFormat="1" ht="15.75" customHeight="1" x14ac:dyDescent="0.25">
      <c r="B487"/>
      <c r="C487"/>
      <c r="D487"/>
      <c r="E487"/>
      <c r="F487"/>
      <c r="G487" s="94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</row>
    <row r="488" spans="2:42" s="54" customFormat="1" ht="15.75" customHeight="1" x14ac:dyDescent="0.25">
      <c r="B488"/>
      <c r="C488"/>
      <c r="D488"/>
      <c r="E488"/>
      <c r="F488"/>
      <c r="G488" s="94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</row>
    <row r="489" spans="2:42" s="54" customFormat="1" ht="15.75" customHeight="1" x14ac:dyDescent="0.25">
      <c r="B489"/>
      <c r="C489"/>
      <c r="D489"/>
      <c r="E489"/>
      <c r="F489"/>
      <c r="G489" s="94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</row>
    <row r="490" spans="2:42" s="54" customFormat="1" ht="15.75" customHeight="1" x14ac:dyDescent="0.25">
      <c r="B490"/>
      <c r="C490"/>
      <c r="D490"/>
      <c r="E490"/>
      <c r="F490"/>
      <c r="G490" s="94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</row>
    <row r="491" spans="2:42" s="54" customFormat="1" ht="15.75" customHeight="1" x14ac:dyDescent="0.25">
      <c r="B491"/>
      <c r="C491"/>
      <c r="D491"/>
      <c r="E491"/>
      <c r="F491"/>
      <c r="G491" s="94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</row>
    <row r="492" spans="2:42" s="54" customFormat="1" ht="15.75" customHeight="1" x14ac:dyDescent="0.25">
      <c r="B492"/>
      <c r="C492"/>
      <c r="D492"/>
      <c r="E492"/>
      <c r="F492"/>
      <c r="G492" s="94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</row>
    <row r="493" spans="2:42" s="54" customFormat="1" ht="15.75" customHeight="1" x14ac:dyDescent="0.25">
      <c r="B493"/>
      <c r="C493"/>
      <c r="D493"/>
      <c r="E493"/>
      <c r="F493"/>
      <c r="G493" s="94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</row>
    <row r="494" spans="2:42" s="54" customFormat="1" ht="15.75" customHeight="1" x14ac:dyDescent="0.25">
      <c r="B494"/>
      <c r="C494"/>
      <c r="D494"/>
      <c r="E494"/>
      <c r="F494"/>
      <c r="G494" s="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</row>
    <row r="495" spans="2:42" s="54" customFormat="1" ht="15.75" customHeight="1" x14ac:dyDescent="0.25">
      <c r="B495"/>
      <c r="C495"/>
      <c r="D495"/>
      <c r="E495"/>
      <c r="F495"/>
      <c r="G495" s="94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</row>
    <row r="496" spans="2:42" s="54" customFormat="1" ht="15.75" customHeight="1" x14ac:dyDescent="0.25">
      <c r="B496"/>
      <c r="C496"/>
      <c r="D496"/>
      <c r="E496"/>
      <c r="F496"/>
      <c r="G496" s="94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</row>
    <row r="497" spans="2:42" s="54" customFormat="1" ht="15.75" customHeight="1" x14ac:dyDescent="0.25">
      <c r="B497"/>
      <c r="C497"/>
      <c r="D497"/>
      <c r="E497"/>
      <c r="F497"/>
      <c r="G497" s="94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</row>
    <row r="498" spans="2:42" s="54" customFormat="1" ht="15.75" customHeight="1" x14ac:dyDescent="0.25">
      <c r="B498"/>
      <c r="C498"/>
      <c r="D498"/>
      <c r="E498"/>
      <c r="F498"/>
      <c r="G498" s="94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</row>
    <row r="499" spans="2:42" s="54" customFormat="1" ht="15.75" customHeight="1" x14ac:dyDescent="0.25">
      <c r="B499"/>
      <c r="C499"/>
      <c r="D499"/>
      <c r="E499"/>
      <c r="F499"/>
      <c r="G499" s="94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</row>
    <row r="500" spans="2:42" s="54" customFormat="1" ht="15.75" customHeight="1" x14ac:dyDescent="0.25">
      <c r="B500"/>
      <c r="C500"/>
      <c r="D500"/>
      <c r="E500"/>
      <c r="F500"/>
      <c r="G500" s="94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</row>
    <row r="501" spans="2:42" s="54" customFormat="1" ht="15.75" customHeight="1" x14ac:dyDescent="0.25">
      <c r="B501"/>
      <c r="C501"/>
      <c r="D501"/>
      <c r="E501"/>
      <c r="F501"/>
      <c r="G501" s="94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</row>
    <row r="502" spans="2:42" s="54" customFormat="1" ht="15.75" customHeight="1" x14ac:dyDescent="0.25">
      <c r="B502"/>
      <c r="C502"/>
      <c r="D502"/>
      <c r="E502"/>
      <c r="F502"/>
      <c r="G502" s="94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</row>
    <row r="503" spans="2:42" s="54" customFormat="1" ht="15.75" customHeight="1" x14ac:dyDescent="0.25">
      <c r="B503"/>
      <c r="C503"/>
      <c r="D503"/>
      <c r="E503"/>
      <c r="F503"/>
      <c r="G503" s="94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</row>
    <row r="504" spans="2:42" s="54" customFormat="1" ht="15.75" customHeight="1" x14ac:dyDescent="0.25">
      <c r="B504"/>
      <c r="C504"/>
      <c r="D504"/>
      <c r="E504"/>
      <c r="F504"/>
      <c r="G504" s="9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</row>
    <row r="505" spans="2:42" s="54" customFormat="1" ht="15.75" customHeight="1" x14ac:dyDescent="0.25">
      <c r="B505"/>
      <c r="C505"/>
      <c r="D505"/>
      <c r="E505"/>
      <c r="F505"/>
      <c r="G505" s="94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</row>
    <row r="506" spans="2:42" s="54" customFormat="1" ht="15.75" customHeight="1" x14ac:dyDescent="0.25">
      <c r="B506"/>
      <c r="C506"/>
      <c r="D506"/>
      <c r="E506"/>
      <c r="F506"/>
      <c r="G506" s="94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</row>
    <row r="507" spans="2:42" s="54" customFormat="1" ht="15.75" customHeight="1" x14ac:dyDescent="0.25">
      <c r="B507"/>
      <c r="C507"/>
      <c r="D507"/>
      <c r="E507"/>
      <c r="F507"/>
      <c r="G507" s="94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</row>
    <row r="508" spans="2:42" s="54" customFormat="1" ht="15.75" customHeight="1" x14ac:dyDescent="0.25">
      <c r="B508"/>
      <c r="C508"/>
      <c r="D508"/>
      <c r="E508"/>
      <c r="F508"/>
      <c r="G508" s="94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</row>
    <row r="509" spans="2:42" s="54" customFormat="1" ht="15.75" customHeight="1" x14ac:dyDescent="0.25">
      <c r="B509"/>
      <c r="C509"/>
      <c r="D509"/>
      <c r="E509"/>
      <c r="F509"/>
      <c r="G509" s="94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</row>
    <row r="510" spans="2:42" s="54" customFormat="1" ht="15.75" customHeight="1" x14ac:dyDescent="0.25">
      <c r="B510"/>
      <c r="C510"/>
      <c r="D510"/>
      <c r="E510"/>
      <c r="F510"/>
      <c r="G510" s="94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</row>
    <row r="511" spans="2:42" s="54" customFormat="1" ht="15.75" customHeight="1" x14ac:dyDescent="0.25">
      <c r="B511"/>
      <c r="C511"/>
      <c r="D511"/>
      <c r="E511"/>
      <c r="F511"/>
      <c r="G511" s="94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</row>
    <row r="512" spans="2:42" s="54" customFormat="1" ht="15.75" customHeight="1" x14ac:dyDescent="0.25">
      <c r="B512"/>
      <c r="C512"/>
      <c r="D512"/>
      <c r="E512"/>
      <c r="F512"/>
      <c r="G512" s="94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</row>
    <row r="513" spans="2:42" s="54" customFormat="1" ht="15.75" customHeight="1" x14ac:dyDescent="0.25">
      <c r="B513"/>
      <c r="C513"/>
      <c r="D513"/>
      <c r="E513"/>
      <c r="F513"/>
      <c r="G513" s="94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</row>
    <row r="514" spans="2:42" s="54" customFormat="1" ht="15.75" customHeight="1" x14ac:dyDescent="0.25">
      <c r="B514"/>
      <c r="C514"/>
      <c r="D514"/>
      <c r="E514"/>
      <c r="F514"/>
      <c r="G514" s="9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</row>
    <row r="515" spans="2:42" s="54" customFormat="1" ht="15.75" customHeight="1" x14ac:dyDescent="0.25">
      <c r="B515"/>
      <c r="C515"/>
      <c r="D515"/>
      <c r="E515"/>
      <c r="F515"/>
      <c r="G515" s="94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</row>
    <row r="516" spans="2:42" s="54" customFormat="1" ht="15.75" customHeight="1" x14ac:dyDescent="0.25">
      <c r="B516"/>
      <c r="C516"/>
      <c r="D516"/>
      <c r="E516"/>
      <c r="F516"/>
      <c r="G516" s="94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</row>
    <row r="517" spans="2:42" s="54" customFormat="1" ht="15.75" customHeight="1" x14ac:dyDescent="0.25">
      <c r="B517"/>
      <c r="C517"/>
      <c r="D517"/>
      <c r="E517"/>
      <c r="F517"/>
      <c r="G517" s="94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</row>
    <row r="518" spans="2:42" s="54" customFormat="1" ht="15.75" customHeight="1" x14ac:dyDescent="0.25">
      <c r="B518"/>
      <c r="C518"/>
      <c r="D518"/>
      <c r="E518"/>
      <c r="F518"/>
      <c r="G518" s="94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</row>
    <row r="519" spans="2:42" s="54" customFormat="1" ht="15.75" customHeight="1" x14ac:dyDescent="0.25">
      <c r="B519"/>
      <c r="C519"/>
      <c r="D519"/>
      <c r="E519"/>
      <c r="F519"/>
      <c r="G519" s="94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</row>
    <row r="520" spans="2:42" s="54" customFormat="1" ht="15.75" customHeight="1" x14ac:dyDescent="0.25">
      <c r="B520"/>
      <c r="C520"/>
      <c r="D520"/>
      <c r="E520"/>
      <c r="F520"/>
      <c r="G520" s="94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</row>
    <row r="521" spans="2:42" s="54" customFormat="1" ht="15.75" customHeight="1" x14ac:dyDescent="0.25">
      <c r="B521"/>
      <c r="C521"/>
      <c r="D521"/>
      <c r="E521"/>
      <c r="F521"/>
      <c r="G521" s="94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</row>
    <row r="522" spans="2:42" s="54" customFormat="1" ht="15.75" customHeight="1" x14ac:dyDescent="0.25">
      <c r="B522"/>
      <c r="C522"/>
      <c r="D522"/>
      <c r="E522"/>
      <c r="F522"/>
      <c r="G522" s="94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</row>
    <row r="523" spans="2:42" s="54" customFormat="1" ht="15.75" customHeight="1" x14ac:dyDescent="0.25">
      <c r="B523"/>
      <c r="C523"/>
      <c r="D523"/>
      <c r="E523"/>
      <c r="F523"/>
      <c r="G523" s="94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</row>
    <row r="524" spans="2:42" s="54" customFormat="1" ht="15.75" customHeight="1" x14ac:dyDescent="0.25">
      <c r="B524"/>
      <c r="C524"/>
      <c r="D524"/>
      <c r="E524"/>
      <c r="F524"/>
      <c r="G524" s="9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</row>
    <row r="525" spans="2:42" s="54" customFormat="1" ht="15.75" customHeight="1" x14ac:dyDescent="0.25">
      <c r="B525"/>
      <c r="C525"/>
      <c r="D525"/>
      <c r="E525"/>
      <c r="F525"/>
      <c r="G525" s="94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</row>
    <row r="526" spans="2:42" s="54" customFormat="1" ht="15.75" customHeight="1" x14ac:dyDescent="0.25">
      <c r="B526"/>
      <c r="C526"/>
      <c r="D526"/>
      <c r="E526"/>
      <c r="F526"/>
      <c r="G526" s="94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</row>
    <row r="527" spans="2:42" s="54" customFormat="1" ht="15.75" customHeight="1" x14ac:dyDescent="0.25">
      <c r="B527"/>
      <c r="C527"/>
      <c r="D527"/>
      <c r="E527"/>
      <c r="F527"/>
      <c r="G527" s="94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</row>
    <row r="528" spans="2:42" s="54" customFormat="1" ht="15.75" customHeight="1" x14ac:dyDescent="0.25">
      <c r="B528"/>
      <c r="C528"/>
      <c r="D528"/>
      <c r="E528"/>
      <c r="F528"/>
      <c r="G528" s="94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</row>
    <row r="529" spans="2:42" s="54" customFormat="1" ht="15.75" customHeight="1" x14ac:dyDescent="0.25">
      <c r="B529"/>
      <c r="C529"/>
      <c r="D529"/>
      <c r="E529"/>
      <c r="F529"/>
      <c r="G529" s="94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</row>
    <row r="530" spans="2:42" s="54" customFormat="1" ht="15.75" customHeight="1" x14ac:dyDescent="0.25">
      <c r="B530"/>
      <c r="C530"/>
      <c r="D530"/>
      <c r="E530"/>
      <c r="F530"/>
      <c r="G530" s="94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</row>
    <row r="531" spans="2:42" s="54" customFormat="1" ht="15.75" customHeight="1" x14ac:dyDescent="0.25">
      <c r="B531"/>
      <c r="C531"/>
      <c r="D531"/>
      <c r="E531"/>
      <c r="F531"/>
      <c r="G531" s="94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</row>
    <row r="532" spans="2:42" s="54" customFormat="1" ht="15.75" customHeight="1" x14ac:dyDescent="0.25">
      <c r="B532"/>
      <c r="C532"/>
      <c r="D532"/>
      <c r="E532"/>
      <c r="F532"/>
      <c r="G532" s="94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</row>
    <row r="533" spans="2:42" s="54" customFormat="1" ht="15.75" customHeight="1" x14ac:dyDescent="0.25">
      <c r="B533"/>
      <c r="C533"/>
      <c r="D533"/>
      <c r="E533"/>
      <c r="F533"/>
      <c r="G533" s="94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</row>
    <row r="534" spans="2:42" s="54" customFormat="1" ht="15.75" customHeight="1" x14ac:dyDescent="0.25">
      <c r="B534"/>
      <c r="C534"/>
      <c r="D534"/>
      <c r="E534"/>
      <c r="F534"/>
      <c r="G534" s="9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</row>
    <row r="535" spans="2:42" s="54" customFormat="1" ht="15.75" customHeight="1" x14ac:dyDescent="0.25">
      <c r="B535"/>
      <c r="C535"/>
      <c r="D535"/>
      <c r="E535"/>
      <c r="F535"/>
      <c r="G535" s="94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</row>
    <row r="536" spans="2:42" s="54" customFormat="1" ht="15.75" customHeight="1" x14ac:dyDescent="0.25">
      <c r="B536"/>
      <c r="C536"/>
      <c r="D536"/>
      <c r="E536"/>
      <c r="F536"/>
      <c r="G536" s="94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</row>
    <row r="537" spans="2:42" s="54" customFormat="1" ht="15.75" customHeight="1" x14ac:dyDescent="0.25">
      <c r="B537"/>
      <c r="C537"/>
      <c r="D537"/>
      <c r="E537"/>
      <c r="F537"/>
      <c r="G537" s="94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</row>
    <row r="538" spans="2:42" s="54" customFormat="1" ht="15.75" customHeight="1" x14ac:dyDescent="0.25">
      <c r="B538"/>
      <c r="C538"/>
      <c r="D538"/>
      <c r="E538"/>
      <c r="F538"/>
      <c r="G538" s="94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</row>
    <row r="539" spans="2:42" s="54" customFormat="1" ht="15.75" customHeight="1" x14ac:dyDescent="0.25">
      <c r="B539"/>
      <c r="C539"/>
      <c r="D539"/>
      <c r="E539"/>
      <c r="F539"/>
      <c r="G539" s="94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</row>
    <row r="540" spans="2:42" s="54" customFormat="1" ht="15.75" customHeight="1" x14ac:dyDescent="0.25">
      <c r="B540"/>
      <c r="C540"/>
      <c r="D540"/>
      <c r="E540"/>
      <c r="F540"/>
      <c r="G540" s="94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</row>
    <row r="541" spans="2:42" s="54" customFormat="1" ht="15.75" customHeight="1" x14ac:dyDescent="0.25">
      <c r="B541"/>
      <c r="C541"/>
      <c r="D541"/>
      <c r="E541"/>
      <c r="F541"/>
      <c r="G541" s="94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</row>
    <row r="542" spans="2:42" s="54" customFormat="1" ht="15.75" customHeight="1" x14ac:dyDescent="0.25">
      <c r="B542"/>
      <c r="C542"/>
      <c r="D542"/>
      <c r="E542"/>
      <c r="F542"/>
      <c r="G542" s="94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</row>
    <row r="543" spans="2:42" s="54" customFormat="1" ht="15.75" customHeight="1" x14ac:dyDescent="0.25">
      <c r="B543"/>
      <c r="C543"/>
      <c r="D543"/>
      <c r="E543"/>
      <c r="F543"/>
      <c r="G543" s="94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</row>
    <row r="544" spans="2:42" s="54" customFormat="1" ht="15.75" customHeight="1" x14ac:dyDescent="0.25">
      <c r="B544"/>
      <c r="C544"/>
      <c r="D544"/>
      <c r="E544"/>
      <c r="F544"/>
      <c r="G544" s="9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</row>
    <row r="545" spans="2:42" s="54" customFormat="1" ht="15.75" customHeight="1" x14ac:dyDescent="0.25">
      <c r="B545"/>
      <c r="C545"/>
      <c r="D545"/>
      <c r="E545"/>
      <c r="F545"/>
      <c r="G545" s="94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</row>
    <row r="546" spans="2:42" s="54" customFormat="1" ht="15.75" customHeight="1" x14ac:dyDescent="0.25">
      <c r="B546"/>
      <c r="C546"/>
      <c r="D546"/>
      <c r="E546"/>
      <c r="F546"/>
      <c r="G546" s="94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</row>
    <row r="547" spans="2:42" s="54" customFormat="1" ht="15.75" customHeight="1" x14ac:dyDescent="0.25">
      <c r="B547"/>
      <c r="C547"/>
      <c r="D547"/>
      <c r="E547"/>
      <c r="F547"/>
      <c r="G547" s="94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</row>
    <row r="548" spans="2:42" s="54" customFormat="1" ht="15.75" customHeight="1" x14ac:dyDescent="0.25">
      <c r="B548"/>
      <c r="C548"/>
      <c r="D548"/>
      <c r="E548"/>
      <c r="F548"/>
      <c r="G548" s="94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</row>
    <row r="549" spans="2:42" s="54" customFormat="1" ht="15.75" customHeight="1" x14ac:dyDescent="0.25">
      <c r="B549"/>
      <c r="C549"/>
      <c r="D549"/>
      <c r="E549"/>
      <c r="F549"/>
      <c r="G549" s="94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</row>
    <row r="550" spans="2:42" s="54" customFormat="1" ht="15.75" customHeight="1" x14ac:dyDescent="0.25">
      <c r="B550"/>
      <c r="C550"/>
      <c r="D550"/>
      <c r="E550"/>
      <c r="F550"/>
      <c r="G550" s="94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</row>
    <row r="551" spans="2:42" s="54" customFormat="1" ht="15.75" customHeight="1" x14ac:dyDescent="0.25">
      <c r="B551"/>
      <c r="C551"/>
      <c r="D551"/>
      <c r="E551"/>
      <c r="F551"/>
      <c r="G551" s="94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</row>
    <row r="552" spans="2:42" s="54" customFormat="1" ht="15.75" customHeight="1" x14ac:dyDescent="0.25">
      <c r="B552"/>
      <c r="C552"/>
      <c r="D552"/>
      <c r="E552"/>
      <c r="F552"/>
      <c r="G552" s="94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</row>
    <row r="553" spans="2:42" s="54" customFormat="1" ht="15.75" customHeight="1" x14ac:dyDescent="0.25">
      <c r="B553"/>
      <c r="C553"/>
      <c r="D553"/>
      <c r="E553"/>
      <c r="F553"/>
      <c r="G553" s="94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</row>
    <row r="554" spans="2:42" s="54" customFormat="1" ht="15.75" customHeight="1" x14ac:dyDescent="0.25">
      <c r="B554"/>
      <c r="C554"/>
      <c r="D554"/>
      <c r="E554"/>
      <c r="F554"/>
      <c r="G554" s="9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</row>
    <row r="555" spans="2:42" s="54" customFormat="1" ht="15.75" customHeight="1" x14ac:dyDescent="0.25">
      <c r="B555"/>
      <c r="C555"/>
      <c r="D555"/>
      <c r="E555"/>
      <c r="F555"/>
      <c r="G555" s="94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</row>
    <row r="556" spans="2:42" s="54" customFormat="1" ht="15.75" customHeight="1" x14ac:dyDescent="0.25">
      <c r="B556"/>
      <c r="C556"/>
      <c r="D556"/>
      <c r="E556"/>
      <c r="F556"/>
      <c r="G556" s="94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</row>
    <row r="557" spans="2:42" s="54" customFormat="1" ht="15.75" customHeight="1" x14ac:dyDescent="0.25">
      <c r="B557"/>
      <c r="C557"/>
      <c r="D557"/>
      <c r="E557"/>
      <c r="F557"/>
      <c r="G557" s="94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</row>
    <row r="558" spans="2:42" s="54" customFormat="1" ht="15.75" customHeight="1" x14ac:dyDescent="0.25">
      <c r="B558"/>
      <c r="C558"/>
      <c r="D558"/>
      <c r="E558"/>
      <c r="F558"/>
      <c r="G558" s="94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</row>
    <row r="559" spans="2:42" s="54" customFormat="1" ht="15.75" customHeight="1" x14ac:dyDescent="0.25">
      <c r="B559"/>
      <c r="C559"/>
      <c r="D559"/>
      <c r="E559"/>
      <c r="F559"/>
      <c r="G559" s="94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</row>
    <row r="560" spans="2:42" s="54" customFormat="1" ht="15.75" customHeight="1" x14ac:dyDescent="0.25">
      <c r="B560"/>
      <c r="C560"/>
      <c r="D560"/>
      <c r="E560"/>
      <c r="F560"/>
      <c r="G560" s="94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</row>
    <row r="561" spans="2:42" s="54" customFormat="1" ht="15.75" customHeight="1" x14ac:dyDescent="0.25">
      <c r="B561"/>
      <c r="C561"/>
      <c r="D561"/>
      <c r="E561"/>
      <c r="F561"/>
      <c r="G561" s="94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</row>
    <row r="562" spans="2:42" s="54" customFormat="1" ht="15.75" customHeight="1" x14ac:dyDescent="0.25">
      <c r="B562"/>
      <c r="C562"/>
      <c r="D562"/>
      <c r="E562"/>
      <c r="F562"/>
      <c r="G562" s="94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</row>
    <row r="563" spans="2:42" s="54" customFormat="1" ht="15.75" customHeight="1" x14ac:dyDescent="0.25">
      <c r="B563"/>
      <c r="C563"/>
      <c r="D563"/>
      <c r="E563"/>
      <c r="F563"/>
      <c r="G563" s="94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</row>
    <row r="564" spans="2:42" s="54" customFormat="1" ht="15.75" customHeight="1" x14ac:dyDescent="0.25">
      <c r="B564"/>
      <c r="C564"/>
      <c r="D564"/>
      <c r="E564"/>
      <c r="F564"/>
      <c r="G564" s="9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</row>
    <row r="565" spans="2:42" s="54" customFormat="1" ht="15.75" customHeight="1" x14ac:dyDescent="0.25">
      <c r="B565"/>
      <c r="C565"/>
      <c r="D565"/>
      <c r="E565"/>
      <c r="F565"/>
      <c r="G565" s="94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</row>
    <row r="566" spans="2:42" s="54" customFormat="1" ht="15.75" customHeight="1" x14ac:dyDescent="0.25">
      <c r="B566"/>
      <c r="C566"/>
      <c r="D566"/>
      <c r="E566"/>
      <c r="F566"/>
      <c r="G566" s="94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</row>
    <row r="567" spans="2:42" s="54" customFormat="1" ht="15.75" customHeight="1" x14ac:dyDescent="0.25">
      <c r="B567"/>
      <c r="C567"/>
      <c r="D567"/>
      <c r="E567"/>
      <c r="F567"/>
      <c r="G567" s="94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</row>
    <row r="568" spans="2:42" s="54" customFormat="1" ht="15.75" customHeight="1" x14ac:dyDescent="0.25">
      <c r="B568"/>
      <c r="C568"/>
      <c r="D568"/>
      <c r="E568"/>
      <c r="F568"/>
      <c r="G568" s="94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</row>
    <row r="569" spans="2:42" s="54" customFormat="1" ht="15.75" customHeight="1" x14ac:dyDescent="0.25">
      <c r="B569"/>
      <c r="C569"/>
      <c r="D569"/>
      <c r="E569"/>
      <c r="F569"/>
      <c r="G569" s="94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</row>
    <row r="570" spans="2:42" s="54" customFormat="1" ht="15.75" customHeight="1" x14ac:dyDescent="0.25">
      <c r="B570"/>
      <c r="C570"/>
      <c r="D570"/>
      <c r="E570"/>
      <c r="F570"/>
      <c r="G570" s="94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</row>
    <row r="571" spans="2:42" s="54" customFormat="1" ht="15.75" customHeight="1" x14ac:dyDescent="0.25">
      <c r="B571"/>
      <c r="C571"/>
      <c r="D571"/>
      <c r="E571"/>
      <c r="F571"/>
      <c r="G571" s="94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</row>
    <row r="572" spans="2:42" s="54" customFormat="1" ht="15.75" customHeight="1" x14ac:dyDescent="0.25">
      <c r="B572"/>
      <c r="C572"/>
      <c r="D572"/>
      <c r="E572"/>
      <c r="F572"/>
      <c r="G572" s="94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</row>
    <row r="573" spans="2:42" s="54" customFormat="1" ht="15.75" customHeight="1" x14ac:dyDescent="0.25">
      <c r="B573"/>
      <c r="C573"/>
      <c r="D573"/>
      <c r="E573"/>
      <c r="F573"/>
      <c r="G573" s="94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</row>
    <row r="574" spans="2:42" s="54" customFormat="1" ht="15.75" customHeight="1" x14ac:dyDescent="0.25">
      <c r="B574"/>
      <c r="C574"/>
      <c r="D574"/>
      <c r="E574"/>
      <c r="F574"/>
      <c r="G574" s="9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</row>
    <row r="575" spans="2:42" s="54" customFormat="1" ht="15.75" customHeight="1" x14ac:dyDescent="0.25">
      <c r="B575"/>
      <c r="C575"/>
      <c r="D575"/>
      <c r="E575"/>
      <c r="F575"/>
      <c r="G575" s="94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</row>
    <row r="576" spans="2:42" s="54" customFormat="1" ht="15.75" customHeight="1" x14ac:dyDescent="0.25">
      <c r="B576"/>
      <c r="C576"/>
      <c r="D576"/>
      <c r="E576"/>
      <c r="F576"/>
      <c r="G576" s="94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</row>
    <row r="577" spans="2:42" s="54" customFormat="1" ht="15.75" customHeight="1" x14ac:dyDescent="0.25">
      <c r="B577"/>
      <c r="C577"/>
      <c r="D577"/>
      <c r="E577"/>
      <c r="F577"/>
      <c r="G577" s="94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</row>
    <row r="578" spans="2:42" s="54" customFormat="1" ht="15.75" customHeight="1" x14ac:dyDescent="0.25">
      <c r="B578"/>
      <c r="C578"/>
      <c r="D578"/>
      <c r="E578"/>
      <c r="F578"/>
      <c r="G578" s="94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</row>
    <row r="579" spans="2:42" s="54" customFormat="1" ht="15.75" customHeight="1" x14ac:dyDescent="0.25">
      <c r="B579"/>
      <c r="C579"/>
      <c r="D579"/>
      <c r="E579"/>
      <c r="F579"/>
      <c r="G579" s="94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</row>
    <row r="580" spans="2:42" s="54" customFormat="1" ht="15.75" customHeight="1" x14ac:dyDescent="0.25">
      <c r="B580"/>
      <c r="C580"/>
      <c r="D580"/>
      <c r="E580"/>
      <c r="F580"/>
      <c r="G580" s="94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</row>
    <row r="581" spans="2:42" s="54" customFormat="1" ht="15.75" customHeight="1" x14ac:dyDescent="0.25">
      <c r="B581"/>
      <c r="C581"/>
      <c r="D581"/>
      <c r="E581"/>
      <c r="F581"/>
      <c r="G581" s="94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</row>
    <row r="582" spans="2:42" s="54" customFormat="1" ht="15.75" customHeight="1" x14ac:dyDescent="0.25">
      <c r="B582"/>
      <c r="C582"/>
      <c r="D582"/>
      <c r="E582"/>
      <c r="F582"/>
      <c r="G582" s="94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</row>
    <row r="583" spans="2:42" s="54" customFormat="1" ht="15.75" customHeight="1" x14ac:dyDescent="0.25">
      <c r="B583"/>
      <c r="C583"/>
      <c r="D583"/>
      <c r="E583"/>
      <c r="F583"/>
      <c r="G583" s="94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</row>
    <row r="584" spans="2:42" s="54" customFormat="1" ht="15.75" customHeight="1" x14ac:dyDescent="0.25">
      <c r="B584"/>
      <c r="C584"/>
      <c r="D584"/>
      <c r="E584"/>
      <c r="F584"/>
      <c r="G584" s="9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</row>
    <row r="585" spans="2:42" s="54" customFormat="1" ht="15.75" customHeight="1" x14ac:dyDescent="0.25">
      <c r="B585"/>
      <c r="C585"/>
      <c r="D585"/>
      <c r="E585"/>
      <c r="F585"/>
      <c r="G585" s="94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</row>
    <row r="586" spans="2:42" s="54" customFormat="1" ht="15.75" customHeight="1" x14ac:dyDescent="0.25">
      <c r="B586"/>
      <c r="C586"/>
      <c r="D586"/>
      <c r="E586"/>
      <c r="F586"/>
      <c r="G586" s="94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</row>
    <row r="587" spans="2:42" s="54" customFormat="1" ht="15.75" customHeight="1" x14ac:dyDescent="0.25">
      <c r="B587"/>
      <c r="C587"/>
      <c r="D587"/>
      <c r="E587"/>
      <c r="F587"/>
      <c r="G587" s="94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</row>
    <row r="588" spans="2:42" s="54" customFormat="1" ht="15.75" customHeight="1" x14ac:dyDescent="0.25">
      <c r="B588"/>
      <c r="C588"/>
      <c r="D588"/>
      <c r="E588"/>
      <c r="F588"/>
      <c r="G588" s="94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</row>
    <row r="589" spans="2:42" s="54" customFormat="1" ht="15.75" customHeight="1" x14ac:dyDescent="0.25">
      <c r="B589"/>
      <c r="C589"/>
      <c r="D589"/>
      <c r="E589"/>
      <c r="F589"/>
      <c r="G589" s="94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</row>
    <row r="590" spans="2:42" s="54" customFormat="1" ht="15.75" customHeight="1" x14ac:dyDescent="0.25">
      <c r="B590"/>
      <c r="C590"/>
      <c r="D590"/>
      <c r="E590"/>
      <c r="F590"/>
      <c r="G590" s="94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</row>
    <row r="591" spans="2:42" s="54" customFormat="1" ht="15.75" customHeight="1" x14ac:dyDescent="0.25">
      <c r="B591"/>
      <c r="C591"/>
      <c r="D591"/>
      <c r="E591"/>
      <c r="F591"/>
      <c r="G591" s="94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</row>
    <row r="592" spans="2:42" s="54" customFormat="1" ht="15.75" customHeight="1" x14ac:dyDescent="0.25">
      <c r="B592"/>
      <c r="C592"/>
      <c r="D592"/>
      <c r="E592"/>
      <c r="F592"/>
      <c r="G592" s="94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</row>
    <row r="593" spans="2:42" s="54" customFormat="1" ht="15.75" customHeight="1" x14ac:dyDescent="0.25">
      <c r="B593"/>
      <c r="C593"/>
      <c r="D593"/>
      <c r="E593"/>
      <c r="F593"/>
      <c r="G593" s="94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</row>
    <row r="594" spans="2:42" s="54" customFormat="1" ht="15.75" customHeight="1" x14ac:dyDescent="0.25">
      <c r="B594"/>
      <c r="C594"/>
      <c r="D594"/>
      <c r="E594"/>
      <c r="F594"/>
      <c r="G594" s="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</row>
    <row r="595" spans="2:42" s="54" customFormat="1" ht="15.75" customHeight="1" x14ac:dyDescent="0.25">
      <c r="B595"/>
      <c r="C595"/>
      <c r="D595"/>
      <c r="E595"/>
      <c r="F595"/>
      <c r="G595" s="94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</row>
    <row r="596" spans="2:42" s="54" customFormat="1" ht="15.75" customHeight="1" x14ac:dyDescent="0.25">
      <c r="B596"/>
      <c r="C596"/>
      <c r="D596"/>
      <c r="E596"/>
      <c r="F596"/>
      <c r="G596" s="94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</row>
    <row r="597" spans="2:42" s="54" customFormat="1" ht="15.75" customHeight="1" x14ac:dyDescent="0.25">
      <c r="B597"/>
      <c r="C597"/>
      <c r="D597"/>
      <c r="E597"/>
      <c r="F597"/>
      <c r="G597" s="94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</row>
    <row r="598" spans="2:42" s="54" customFormat="1" ht="15.75" customHeight="1" x14ac:dyDescent="0.25">
      <c r="B598"/>
      <c r="C598"/>
      <c r="D598"/>
      <c r="E598"/>
      <c r="F598"/>
      <c r="G598" s="94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</row>
    <row r="599" spans="2:42" s="54" customFormat="1" ht="15.75" customHeight="1" x14ac:dyDescent="0.25">
      <c r="B599"/>
      <c r="C599"/>
      <c r="D599"/>
      <c r="E599"/>
      <c r="F599"/>
      <c r="G599" s="94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</row>
    <row r="600" spans="2:42" s="54" customFormat="1" ht="15.75" customHeight="1" x14ac:dyDescent="0.25">
      <c r="B600"/>
      <c r="C600"/>
      <c r="D600"/>
      <c r="E600"/>
      <c r="F600"/>
      <c r="G600" s="94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</row>
    <row r="601" spans="2:42" s="54" customFormat="1" ht="15.75" customHeight="1" x14ac:dyDescent="0.25">
      <c r="B601"/>
      <c r="C601"/>
      <c r="D601"/>
      <c r="E601"/>
      <c r="F601"/>
      <c r="G601" s="94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</row>
    <row r="602" spans="2:42" s="54" customFormat="1" ht="15.75" customHeight="1" x14ac:dyDescent="0.25">
      <c r="B602"/>
      <c r="C602"/>
      <c r="D602"/>
      <c r="E602"/>
      <c r="F602"/>
      <c r="G602" s="94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</row>
    <row r="603" spans="2:42" s="54" customFormat="1" ht="15.75" customHeight="1" x14ac:dyDescent="0.25">
      <c r="B603"/>
      <c r="C603"/>
      <c r="D603"/>
      <c r="E603"/>
      <c r="F603"/>
      <c r="G603" s="94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</row>
    <row r="604" spans="2:42" s="54" customFormat="1" ht="15.75" customHeight="1" x14ac:dyDescent="0.25">
      <c r="B604"/>
      <c r="C604"/>
      <c r="D604"/>
      <c r="E604"/>
      <c r="F604"/>
      <c r="G604" s="9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</row>
    <row r="605" spans="2:42" s="54" customFormat="1" ht="15.75" customHeight="1" x14ac:dyDescent="0.25">
      <c r="B605"/>
      <c r="C605"/>
      <c r="D605"/>
      <c r="E605"/>
      <c r="F605"/>
      <c r="G605" s="94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</row>
    <row r="606" spans="2:42" s="54" customFormat="1" ht="15.75" customHeight="1" x14ac:dyDescent="0.25">
      <c r="B606"/>
      <c r="C606"/>
      <c r="D606"/>
      <c r="E606"/>
      <c r="F606"/>
      <c r="G606" s="94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</row>
    <row r="607" spans="2:42" s="54" customFormat="1" ht="15.75" customHeight="1" x14ac:dyDescent="0.25">
      <c r="B607"/>
      <c r="C607"/>
      <c r="D607"/>
      <c r="E607"/>
      <c r="F607"/>
      <c r="G607" s="94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</row>
    <row r="608" spans="2:42" s="54" customFormat="1" ht="15.75" customHeight="1" x14ac:dyDescent="0.25">
      <c r="B608"/>
      <c r="C608"/>
      <c r="D608"/>
      <c r="E608"/>
      <c r="F608"/>
      <c r="G608" s="94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</row>
    <row r="609" spans="2:42" s="54" customFormat="1" ht="15.75" customHeight="1" x14ac:dyDescent="0.25">
      <c r="B609"/>
      <c r="C609"/>
      <c r="D609"/>
      <c r="E609"/>
      <c r="F609"/>
      <c r="G609" s="94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</row>
    <row r="610" spans="2:42" s="54" customFormat="1" ht="15.75" customHeight="1" x14ac:dyDescent="0.25">
      <c r="B610"/>
      <c r="C610"/>
      <c r="D610"/>
      <c r="E610"/>
      <c r="F610"/>
      <c r="G610" s="94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</row>
    <row r="611" spans="2:42" s="54" customFormat="1" ht="15.75" customHeight="1" x14ac:dyDescent="0.25">
      <c r="B611"/>
      <c r="C611"/>
      <c r="D611"/>
      <c r="E611"/>
      <c r="F611"/>
      <c r="G611" s="94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</row>
    <row r="612" spans="2:42" s="54" customFormat="1" ht="15.75" customHeight="1" x14ac:dyDescent="0.25">
      <c r="B612"/>
      <c r="C612"/>
      <c r="D612"/>
      <c r="E612"/>
      <c r="F612"/>
      <c r="G612" s="94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</row>
    <row r="613" spans="2:42" s="54" customFormat="1" ht="15.75" customHeight="1" x14ac:dyDescent="0.25">
      <c r="B613"/>
      <c r="C613"/>
      <c r="D613"/>
      <c r="E613"/>
      <c r="F613"/>
      <c r="G613" s="94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</row>
    <row r="614" spans="2:42" s="54" customFormat="1" ht="15.75" customHeight="1" x14ac:dyDescent="0.25">
      <c r="B614"/>
      <c r="C614"/>
      <c r="D614"/>
      <c r="E614"/>
      <c r="F614"/>
      <c r="G614" s="9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</row>
    <row r="615" spans="2:42" s="54" customFormat="1" ht="15.75" customHeight="1" x14ac:dyDescent="0.25">
      <c r="B615"/>
      <c r="C615"/>
      <c r="D615"/>
      <c r="E615"/>
      <c r="F615"/>
      <c r="G615" s="94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</row>
    <row r="616" spans="2:42" s="54" customFormat="1" ht="15.75" customHeight="1" x14ac:dyDescent="0.25">
      <c r="B616"/>
      <c r="C616"/>
      <c r="D616"/>
      <c r="E616"/>
      <c r="F616"/>
      <c r="G616" s="94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</row>
    <row r="617" spans="2:42" s="54" customFormat="1" ht="15.75" customHeight="1" x14ac:dyDescent="0.25">
      <c r="B617"/>
      <c r="C617"/>
      <c r="D617"/>
      <c r="E617"/>
      <c r="F617"/>
      <c r="G617" s="94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</row>
    <row r="618" spans="2:42" s="54" customFormat="1" ht="15.75" customHeight="1" x14ac:dyDescent="0.25">
      <c r="B618"/>
      <c r="C618"/>
      <c r="D618"/>
      <c r="E618"/>
      <c r="F618"/>
      <c r="G618" s="94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</row>
    <row r="619" spans="2:42" s="54" customFormat="1" ht="15.75" customHeight="1" x14ac:dyDescent="0.25">
      <c r="B619"/>
      <c r="C619"/>
      <c r="D619"/>
      <c r="E619"/>
      <c r="F619"/>
      <c r="G619" s="94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</row>
    <row r="620" spans="2:42" s="54" customFormat="1" ht="15.75" customHeight="1" x14ac:dyDescent="0.25">
      <c r="B620"/>
      <c r="C620"/>
      <c r="D620"/>
      <c r="E620"/>
      <c r="F620"/>
      <c r="G620" s="94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</row>
    <row r="621" spans="2:42" s="54" customFormat="1" ht="15.75" customHeight="1" x14ac:dyDescent="0.25">
      <c r="B621"/>
      <c r="C621"/>
      <c r="D621"/>
      <c r="E621"/>
      <c r="F621"/>
      <c r="G621" s="94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</row>
    <row r="622" spans="2:42" s="54" customFormat="1" ht="15.75" customHeight="1" x14ac:dyDescent="0.25">
      <c r="B622"/>
      <c r="C622"/>
      <c r="D622"/>
      <c r="E622"/>
      <c r="F622"/>
      <c r="G622" s="94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</row>
    <row r="623" spans="2:42" s="54" customFormat="1" ht="15.75" customHeight="1" x14ac:dyDescent="0.25">
      <c r="B623"/>
      <c r="C623"/>
      <c r="D623"/>
      <c r="E623"/>
      <c r="F623"/>
      <c r="G623" s="94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</row>
    <row r="624" spans="2:42" s="54" customFormat="1" ht="15.75" customHeight="1" x14ac:dyDescent="0.25">
      <c r="B624"/>
      <c r="C624"/>
      <c r="D624"/>
      <c r="E624"/>
      <c r="F624"/>
      <c r="G624" s="9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</row>
    <row r="625" spans="2:42" s="54" customFormat="1" ht="15.75" customHeight="1" x14ac:dyDescent="0.25">
      <c r="B625"/>
      <c r="C625"/>
      <c r="D625"/>
      <c r="E625"/>
      <c r="F625"/>
      <c r="G625" s="94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</row>
    <row r="626" spans="2:42" s="54" customFormat="1" ht="15.75" customHeight="1" x14ac:dyDescent="0.25">
      <c r="B626"/>
      <c r="C626"/>
      <c r="D626"/>
      <c r="E626"/>
      <c r="F626"/>
      <c r="G626" s="94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</row>
    <row r="627" spans="2:42" s="54" customFormat="1" ht="15.75" customHeight="1" x14ac:dyDescent="0.25">
      <c r="B627"/>
      <c r="C627"/>
      <c r="D627"/>
      <c r="E627"/>
      <c r="F627"/>
      <c r="G627" s="94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</row>
    <row r="628" spans="2:42" s="54" customFormat="1" ht="15.75" customHeight="1" x14ac:dyDescent="0.25">
      <c r="B628"/>
      <c r="C628"/>
      <c r="D628"/>
      <c r="E628"/>
      <c r="F628"/>
      <c r="G628" s="94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</row>
    <row r="629" spans="2:42" s="54" customFormat="1" ht="15.75" customHeight="1" x14ac:dyDescent="0.25">
      <c r="B629"/>
      <c r="C629"/>
      <c r="D629"/>
      <c r="E629"/>
      <c r="F629"/>
      <c r="G629" s="94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</row>
    <row r="630" spans="2:42" s="54" customFormat="1" ht="15.75" customHeight="1" x14ac:dyDescent="0.25">
      <c r="B630"/>
      <c r="C630"/>
      <c r="D630"/>
      <c r="E630"/>
      <c r="F630"/>
      <c r="G630" s="94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</row>
    <row r="631" spans="2:42" s="54" customFormat="1" ht="15.75" customHeight="1" x14ac:dyDescent="0.25">
      <c r="B631"/>
      <c r="C631"/>
      <c r="D631"/>
      <c r="E631"/>
      <c r="F631"/>
      <c r="G631" s="94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</row>
    <row r="632" spans="2:42" s="54" customFormat="1" ht="15.75" customHeight="1" x14ac:dyDescent="0.25">
      <c r="B632"/>
      <c r="C632"/>
      <c r="D632"/>
      <c r="E632"/>
      <c r="F632"/>
      <c r="G632" s="94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</row>
    <row r="633" spans="2:42" s="54" customFormat="1" ht="15.75" customHeight="1" x14ac:dyDescent="0.25">
      <c r="B633"/>
      <c r="C633"/>
      <c r="D633"/>
      <c r="E633"/>
      <c r="F633"/>
      <c r="G633" s="94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</row>
    <row r="634" spans="2:42" s="54" customFormat="1" ht="15.75" customHeight="1" x14ac:dyDescent="0.25">
      <c r="B634"/>
      <c r="C634"/>
      <c r="D634"/>
      <c r="E634"/>
      <c r="F634"/>
      <c r="G634" s="9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</row>
    <row r="635" spans="2:42" s="54" customFormat="1" ht="15.75" customHeight="1" x14ac:dyDescent="0.25">
      <c r="B635"/>
      <c r="C635"/>
      <c r="D635"/>
      <c r="E635"/>
      <c r="F635"/>
      <c r="G635" s="94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</row>
    <row r="636" spans="2:42" s="54" customFormat="1" ht="15.75" customHeight="1" x14ac:dyDescent="0.25">
      <c r="B636"/>
      <c r="C636"/>
      <c r="D636"/>
      <c r="E636"/>
      <c r="F636"/>
      <c r="G636" s="94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</row>
    <row r="637" spans="2:42" s="54" customFormat="1" ht="15.75" customHeight="1" x14ac:dyDescent="0.25">
      <c r="B637"/>
      <c r="C637"/>
      <c r="D637"/>
      <c r="E637"/>
      <c r="F637"/>
      <c r="G637" s="94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</row>
    <row r="638" spans="2:42" s="54" customFormat="1" ht="15.75" customHeight="1" x14ac:dyDescent="0.25">
      <c r="B638"/>
      <c r="C638"/>
      <c r="D638"/>
      <c r="E638"/>
      <c r="F638"/>
      <c r="G638" s="94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</row>
    <row r="639" spans="2:42" s="54" customFormat="1" ht="15.75" customHeight="1" x14ac:dyDescent="0.25">
      <c r="B639"/>
      <c r="C639"/>
      <c r="D639"/>
      <c r="E639"/>
      <c r="F639"/>
      <c r="G639" s="94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</row>
    <row r="640" spans="2:42" s="54" customFormat="1" ht="15.75" customHeight="1" x14ac:dyDescent="0.25">
      <c r="B640"/>
      <c r="C640"/>
      <c r="D640"/>
      <c r="E640"/>
      <c r="F640"/>
      <c r="G640" s="94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</row>
    <row r="641" spans="2:42" s="54" customFormat="1" ht="15.75" customHeight="1" x14ac:dyDescent="0.25">
      <c r="B641"/>
      <c r="C641"/>
      <c r="D641"/>
      <c r="E641"/>
      <c r="F641"/>
      <c r="G641" s="94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</row>
    <row r="642" spans="2:42" s="54" customFormat="1" ht="15.75" customHeight="1" x14ac:dyDescent="0.25">
      <c r="B642"/>
      <c r="C642"/>
      <c r="D642"/>
      <c r="E642"/>
      <c r="F642"/>
      <c r="G642" s="94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</row>
    <row r="643" spans="2:42" s="54" customFormat="1" ht="15.75" customHeight="1" x14ac:dyDescent="0.25">
      <c r="B643"/>
      <c r="C643"/>
      <c r="D643"/>
      <c r="E643"/>
      <c r="F643"/>
      <c r="G643" s="94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</row>
    <row r="644" spans="2:42" s="54" customFormat="1" ht="15.75" customHeight="1" x14ac:dyDescent="0.25">
      <c r="B644"/>
      <c r="C644"/>
      <c r="D644"/>
      <c r="E644"/>
      <c r="F644"/>
      <c r="G644" s="9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</row>
    <row r="645" spans="2:42" s="54" customFormat="1" ht="15.75" customHeight="1" x14ac:dyDescent="0.25">
      <c r="B645"/>
      <c r="C645"/>
      <c r="D645"/>
      <c r="E645"/>
      <c r="F645"/>
      <c r="G645" s="94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</row>
    <row r="646" spans="2:42" s="54" customFormat="1" ht="15.75" customHeight="1" x14ac:dyDescent="0.25">
      <c r="B646"/>
      <c r="C646"/>
      <c r="D646"/>
      <c r="E646"/>
      <c r="F646"/>
      <c r="G646" s="94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</row>
    <row r="647" spans="2:42" s="54" customFormat="1" ht="15.75" customHeight="1" x14ac:dyDescent="0.25">
      <c r="B647"/>
      <c r="C647"/>
      <c r="D647"/>
      <c r="E647"/>
      <c r="F647"/>
      <c r="G647" s="94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</row>
    <row r="648" spans="2:42" s="54" customFormat="1" ht="15.75" customHeight="1" x14ac:dyDescent="0.25">
      <c r="B648"/>
      <c r="C648"/>
      <c r="D648"/>
      <c r="E648"/>
      <c r="F648"/>
      <c r="G648" s="94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</row>
    <row r="649" spans="2:42" s="54" customFormat="1" ht="15.75" customHeight="1" x14ac:dyDescent="0.25">
      <c r="B649"/>
      <c r="C649"/>
      <c r="D649"/>
      <c r="E649"/>
      <c r="F649"/>
      <c r="G649" s="94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</row>
    <row r="650" spans="2:42" s="54" customFormat="1" ht="15.75" customHeight="1" x14ac:dyDescent="0.25">
      <c r="B650"/>
      <c r="C650"/>
      <c r="D650"/>
      <c r="E650"/>
      <c r="F650"/>
      <c r="G650" s="94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</row>
    <row r="651" spans="2:42" s="54" customFormat="1" ht="15.75" customHeight="1" x14ac:dyDescent="0.25">
      <c r="B651"/>
      <c r="C651"/>
      <c r="D651"/>
      <c r="E651"/>
      <c r="F651"/>
      <c r="G651" s="94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</row>
    <row r="652" spans="2:42" s="54" customFormat="1" ht="15.75" customHeight="1" x14ac:dyDescent="0.25">
      <c r="B652"/>
      <c r="C652"/>
      <c r="D652"/>
      <c r="E652"/>
      <c r="F652"/>
      <c r="G652" s="94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</row>
    <row r="653" spans="2:42" s="54" customFormat="1" ht="15.75" customHeight="1" x14ac:dyDescent="0.25">
      <c r="B653"/>
      <c r="C653"/>
      <c r="D653"/>
      <c r="E653"/>
      <c r="F653"/>
      <c r="G653" s="94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</row>
    <row r="654" spans="2:42" s="54" customFormat="1" ht="15.75" customHeight="1" x14ac:dyDescent="0.25">
      <c r="B654"/>
      <c r="C654"/>
      <c r="D654"/>
      <c r="E654"/>
      <c r="F654"/>
      <c r="G654" s="9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</row>
    <row r="655" spans="2:42" s="54" customFormat="1" ht="15.75" customHeight="1" x14ac:dyDescent="0.25">
      <c r="B655"/>
      <c r="C655"/>
      <c r="D655"/>
      <c r="E655"/>
      <c r="F655"/>
      <c r="G655" s="94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</row>
    <row r="656" spans="2:42" s="54" customFormat="1" ht="15.75" customHeight="1" x14ac:dyDescent="0.25">
      <c r="B656"/>
      <c r="C656"/>
      <c r="D656"/>
      <c r="E656"/>
      <c r="F656"/>
      <c r="G656" s="94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</row>
    <row r="657" spans="2:42" s="54" customFormat="1" ht="15.75" customHeight="1" x14ac:dyDescent="0.25">
      <c r="B657"/>
      <c r="C657"/>
      <c r="D657"/>
      <c r="E657"/>
      <c r="F657"/>
      <c r="G657" s="94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</row>
    <row r="658" spans="2:42" s="54" customFormat="1" ht="15.75" customHeight="1" x14ac:dyDescent="0.25">
      <c r="B658"/>
      <c r="C658"/>
      <c r="D658"/>
      <c r="E658"/>
      <c r="F658"/>
      <c r="G658" s="94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</row>
    <row r="659" spans="2:42" s="54" customFormat="1" ht="15.75" customHeight="1" x14ac:dyDescent="0.25">
      <c r="B659"/>
      <c r="C659"/>
      <c r="D659"/>
      <c r="E659"/>
      <c r="F659"/>
      <c r="G659" s="94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</row>
    <row r="660" spans="2:42" s="54" customFormat="1" ht="15.75" customHeight="1" x14ac:dyDescent="0.25">
      <c r="B660"/>
      <c r="C660"/>
      <c r="D660"/>
      <c r="E660"/>
      <c r="F660"/>
      <c r="G660" s="94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</row>
    <row r="661" spans="2:42" s="54" customFormat="1" ht="15.75" customHeight="1" x14ac:dyDescent="0.25">
      <c r="B661"/>
      <c r="C661"/>
      <c r="D661"/>
      <c r="E661"/>
      <c r="F661"/>
      <c r="G661" s="94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</row>
    <row r="662" spans="2:42" s="54" customFormat="1" ht="15.75" customHeight="1" x14ac:dyDescent="0.25">
      <c r="B662"/>
      <c r="C662"/>
      <c r="D662"/>
      <c r="E662"/>
      <c r="F662"/>
      <c r="G662" s="94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</row>
    <row r="663" spans="2:42" s="54" customFormat="1" ht="15.75" customHeight="1" x14ac:dyDescent="0.25">
      <c r="B663"/>
      <c r="C663"/>
      <c r="D663"/>
      <c r="E663"/>
      <c r="F663"/>
      <c r="G663" s="94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</row>
    <row r="664" spans="2:42" s="54" customFormat="1" ht="15.75" customHeight="1" x14ac:dyDescent="0.25">
      <c r="B664"/>
      <c r="C664"/>
      <c r="D664"/>
      <c r="E664"/>
      <c r="F664"/>
      <c r="G664" s="9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</row>
    <row r="665" spans="2:42" s="54" customFormat="1" ht="15.75" customHeight="1" x14ac:dyDescent="0.25">
      <c r="B665"/>
      <c r="C665"/>
      <c r="D665"/>
      <c r="E665"/>
      <c r="F665"/>
      <c r="G665" s="94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</row>
    <row r="666" spans="2:42" s="54" customFormat="1" ht="15.75" customHeight="1" x14ac:dyDescent="0.25">
      <c r="B666"/>
      <c r="C666"/>
      <c r="D666"/>
      <c r="E666"/>
      <c r="F666"/>
      <c r="G666" s="94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</row>
    <row r="667" spans="2:42" s="54" customFormat="1" ht="15.75" customHeight="1" x14ac:dyDescent="0.25">
      <c r="B667"/>
      <c r="C667"/>
      <c r="D667"/>
      <c r="E667"/>
      <c r="F667"/>
      <c r="G667" s="94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</row>
    <row r="668" spans="2:42" s="54" customFormat="1" ht="15.75" customHeight="1" x14ac:dyDescent="0.25">
      <c r="B668"/>
      <c r="C668"/>
      <c r="D668"/>
      <c r="E668"/>
      <c r="F668"/>
      <c r="G668" s="94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</row>
    <row r="669" spans="2:42" s="54" customFormat="1" ht="15.75" customHeight="1" x14ac:dyDescent="0.25">
      <c r="B669"/>
      <c r="C669"/>
      <c r="D669"/>
      <c r="E669"/>
      <c r="F669"/>
      <c r="G669" s="94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</row>
    <row r="670" spans="2:42" s="54" customFormat="1" ht="15.75" customHeight="1" x14ac:dyDescent="0.25">
      <c r="B670"/>
      <c r="C670"/>
      <c r="D670"/>
      <c r="E670"/>
      <c r="F670"/>
      <c r="G670" s="94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</row>
    <row r="671" spans="2:42" s="54" customFormat="1" ht="15.75" customHeight="1" x14ac:dyDescent="0.25">
      <c r="B671"/>
      <c r="C671"/>
      <c r="D671"/>
      <c r="E671"/>
      <c r="F671"/>
      <c r="G671" s="94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</row>
    <row r="672" spans="2:42" s="54" customFormat="1" ht="15.75" customHeight="1" x14ac:dyDescent="0.25">
      <c r="B672"/>
      <c r="C672"/>
      <c r="D672"/>
      <c r="E672"/>
      <c r="F672"/>
      <c r="G672" s="94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</row>
    <row r="673" spans="2:42" s="54" customFormat="1" ht="15.75" customHeight="1" x14ac:dyDescent="0.25">
      <c r="B673"/>
      <c r="C673"/>
      <c r="D673"/>
      <c r="E673"/>
      <c r="F673"/>
      <c r="G673" s="94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</row>
    <row r="674" spans="2:42" s="54" customFormat="1" ht="15.75" customHeight="1" x14ac:dyDescent="0.25">
      <c r="B674"/>
      <c r="C674"/>
      <c r="D674"/>
      <c r="E674"/>
      <c r="F674"/>
      <c r="G674" s="9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</row>
    <row r="675" spans="2:42" s="54" customFormat="1" ht="15.75" customHeight="1" x14ac:dyDescent="0.25">
      <c r="B675"/>
      <c r="C675"/>
      <c r="D675"/>
      <c r="E675"/>
      <c r="F675"/>
      <c r="G675" s="94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</row>
    <row r="676" spans="2:42" s="54" customFormat="1" ht="15.75" customHeight="1" x14ac:dyDescent="0.25">
      <c r="B676"/>
      <c r="C676"/>
      <c r="D676"/>
      <c r="E676"/>
      <c r="F676"/>
      <c r="G676" s="94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</row>
    <row r="677" spans="2:42" s="54" customFormat="1" ht="15.75" customHeight="1" x14ac:dyDescent="0.25">
      <c r="B677"/>
      <c r="C677"/>
      <c r="D677"/>
      <c r="E677"/>
      <c r="F677"/>
      <c r="G677" s="94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</row>
    <row r="678" spans="2:42" s="54" customFormat="1" ht="15.75" customHeight="1" x14ac:dyDescent="0.25">
      <c r="B678"/>
      <c r="C678"/>
      <c r="D678"/>
      <c r="E678"/>
      <c r="F678"/>
      <c r="G678" s="94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</row>
    <row r="679" spans="2:42" s="54" customFormat="1" ht="15.75" customHeight="1" x14ac:dyDescent="0.25">
      <c r="B679"/>
      <c r="C679"/>
      <c r="D679"/>
      <c r="E679"/>
      <c r="F679"/>
      <c r="G679" s="94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</row>
    <row r="680" spans="2:42" s="54" customFormat="1" ht="15.75" customHeight="1" x14ac:dyDescent="0.25">
      <c r="B680"/>
      <c r="C680"/>
      <c r="D680"/>
      <c r="E680"/>
      <c r="F680"/>
      <c r="G680" s="94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</row>
    <row r="681" spans="2:42" s="54" customFormat="1" ht="15.75" customHeight="1" x14ac:dyDescent="0.25">
      <c r="B681"/>
      <c r="C681"/>
      <c r="D681"/>
      <c r="E681"/>
      <c r="F681"/>
      <c r="G681" s="94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</row>
    <row r="682" spans="2:42" s="54" customFormat="1" ht="15.75" customHeight="1" x14ac:dyDescent="0.25">
      <c r="B682"/>
      <c r="C682"/>
      <c r="D682"/>
      <c r="E682"/>
      <c r="F682"/>
      <c r="G682" s="94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</row>
    <row r="683" spans="2:42" s="54" customFormat="1" ht="15.75" customHeight="1" x14ac:dyDescent="0.25">
      <c r="B683"/>
      <c r="C683"/>
      <c r="D683"/>
      <c r="E683"/>
      <c r="F683"/>
      <c r="G683" s="94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</row>
    <row r="684" spans="2:42" s="54" customFormat="1" ht="15.75" customHeight="1" x14ac:dyDescent="0.25">
      <c r="B684"/>
      <c r="C684"/>
      <c r="D684"/>
      <c r="E684"/>
      <c r="F684"/>
      <c r="G684" s="9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</row>
    <row r="685" spans="2:42" s="54" customFormat="1" ht="15.75" customHeight="1" x14ac:dyDescent="0.25">
      <c r="B685"/>
      <c r="C685"/>
      <c r="D685"/>
      <c r="E685"/>
      <c r="F685"/>
      <c r="G685" s="94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</row>
    <row r="686" spans="2:42" s="54" customFormat="1" ht="15.75" customHeight="1" x14ac:dyDescent="0.25">
      <c r="B686"/>
      <c r="C686"/>
      <c r="D686"/>
      <c r="E686"/>
      <c r="F686"/>
      <c r="G686" s="94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</row>
    <row r="687" spans="2:42" s="54" customFormat="1" ht="15.75" customHeight="1" x14ac:dyDescent="0.25">
      <c r="B687"/>
      <c r="C687"/>
      <c r="D687"/>
      <c r="E687"/>
      <c r="F687"/>
      <c r="G687" s="94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</row>
    <row r="688" spans="2:42" s="54" customFormat="1" ht="15.75" customHeight="1" x14ac:dyDescent="0.25">
      <c r="B688"/>
      <c r="C688"/>
      <c r="D688"/>
      <c r="E688"/>
      <c r="F688"/>
      <c r="G688" s="94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</row>
    <row r="689" spans="2:42" s="54" customFormat="1" ht="15.75" customHeight="1" x14ac:dyDescent="0.25">
      <c r="B689"/>
      <c r="C689"/>
      <c r="D689"/>
      <c r="E689"/>
      <c r="F689"/>
      <c r="G689" s="94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</row>
    <row r="690" spans="2:42" s="54" customFormat="1" ht="15.75" customHeight="1" x14ac:dyDescent="0.25">
      <c r="B690"/>
      <c r="C690"/>
      <c r="D690"/>
      <c r="E690"/>
      <c r="F690"/>
      <c r="G690" s="94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</row>
    <row r="691" spans="2:42" s="54" customFormat="1" ht="15.75" customHeight="1" x14ac:dyDescent="0.25">
      <c r="B691"/>
      <c r="C691"/>
      <c r="D691"/>
      <c r="E691"/>
      <c r="F691"/>
      <c r="G691" s="94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</row>
    <row r="692" spans="2:42" s="54" customFormat="1" ht="15.75" customHeight="1" x14ac:dyDescent="0.25">
      <c r="B692"/>
      <c r="C692"/>
      <c r="D692"/>
      <c r="E692"/>
      <c r="F692"/>
      <c r="G692" s="94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</row>
    <row r="693" spans="2:42" s="54" customFormat="1" ht="15.75" customHeight="1" x14ac:dyDescent="0.25">
      <c r="B693"/>
      <c r="C693"/>
      <c r="D693"/>
      <c r="E693"/>
      <c r="F693"/>
      <c r="G693" s="94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</row>
    <row r="694" spans="2:42" s="54" customFormat="1" ht="15.75" customHeight="1" x14ac:dyDescent="0.25">
      <c r="B694"/>
      <c r="C694"/>
      <c r="D694"/>
      <c r="E694"/>
      <c r="F694"/>
      <c r="G694" s="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</row>
    <row r="695" spans="2:42" s="54" customFormat="1" ht="15.75" customHeight="1" x14ac:dyDescent="0.25">
      <c r="B695"/>
      <c r="C695"/>
      <c r="D695"/>
      <c r="E695"/>
      <c r="F695"/>
      <c r="G695" s="94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</row>
    <row r="696" spans="2:42" s="54" customFormat="1" ht="15.75" customHeight="1" x14ac:dyDescent="0.25">
      <c r="B696"/>
      <c r="C696"/>
      <c r="D696"/>
      <c r="E696"/>
      <c r="F696"/>
      <c r="G696" s="94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</row>
    <row r="697" spans="2:42" s="54" customFormat="1" ht="15.75" customHeight="1" x14ac:dyDescent="0.25">
      <c r="B697"/>
      <c r="C697"/>
      <c r="D697"/>
      <c r="E697"/>
      <c r="F697"/>
      <c r="G697" s="94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</row>
    <row r="698" spans="2:42" s="54" customFormat="1" ht="15.75" customHeight="1" x14ac:dyDescent="0.25">
      <c r="B698"/>
      <c r="C698"/>
      <c r="D698"/>
      <c r="E698"/>
      <c r="F698"/>
      <c r="G698" s="94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</row>
    <row r="699" spans="2:42" s="54" customFormat="1" ht="15.75" customHeight="1" x14ac:dyDescent="0.25">
      <c r="B699"/>
      <c r="C699"/>
      <c r="D699"/>
      <c r="E699"/>
      <c r="F699"/>
      <c r="G699" s="94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</row>
    <row r="700" spans="2:42" s="54" customFormat="1" ht="15.75" customHeight="1" x14ac:dyDescent="0.25">
      <c r="B700"/>
      <c r="C700"/>
      <c r="D700"/>
      <c r="E700"/>
      <c r="F700"/>
      <c r="G700" s="94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</row>
    <row r="701" spans="2:42" s="54" customFormat="1" ht="15.75" customHeight="1" x14ac:dyDescent="0.25">
      <c r="B701"/>
      <c r="C701"/>
      <c r="D701"/>
      <c r="E701"/>
      <c r="F701"/>
      <c r="G701" s="94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</row>
    <row r="702" spans="2:42" s="54" customFormat="1" ht="15.75" customHeight="1" x14ac:dyDescent="0.25">
      <c r="B702"/>
      <c r="C702"/>
      <c r="D702"/>
      <c r="E702"/>
      <c r="F702"/>
      <c r="G702" s="94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</row>
    <row r="703" spans="2:42" s="54" customFormat="1" ht="15.75" customHeight="1" x14ac:dyDescent="0.25">
      <c r="B703"/>
      <c r="C703"/>
      <c r="D703"/>
      <c r="E703"/>
      <c r="F703"/>
      <c r="G703" s="94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</row>
    <row r="704" spans="2:42" s="54" customFormat="1" ht="15.75" customHeight="1" x14ac:dyDescent="0.25">
      <c r="B704"/>
      <c r="C704"/>
      <c r="D704"/>
      <c r="E704"/>
      <c r="F704"/>
      <c r="G704" s="9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</row>
    <row r="705" spans="2:42" s="54" customFormat="1" ht="15.75" customHeight="1" x14ac:dyDescent="0.25">
      <c r="B705"/>
      <c r="C705"/>
      <c r="D705"/>
      <c r="E705"/>
      <c r="F705"/>
      <c r="G705" s="94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</row>
    <row r="706" spans="2:42" s="54" customFormat="1" ht="15.75" customHeight="1" x14ac:dyDescent="0.25">
      <c r="B706"/>
      <c r="C706"/>
      <c r="D706"/>
      <c r="E706"/>
      <c r="F706"/>
      <c r="G706" s="94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</row>
    <row r="707" spans="2:42" s="54" customFormat="1" ht="15.75" customHeight="1" x14ac:dyDescent="0.25">
      <c r="B707"/>
      <c r="C707"/>
      <c r="D707"/>
      <c r="E707"/>
      <c r="F707"/>
      <c r="G707" s="94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</row>
    <row r="708" spans="2:42" s="54" customFormat="1" ht="15.75" customHeight="1" x14ac:dyDescent="0.25">
      <c r="B708"/>
      <c r="C708"/>
      <c r="D708"/>
      <c r="E708"/>
      <c r="F708"/>
      <c r="G708" s="94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</row>
    <row r="709" spans="2:42" s="54" customFormat="1" ht="15.75" customHeight="1" x14ac:dyDescent="0.25">
      <c r="B709"/>
      <c r="C709"/>
      <c r="D709"/>
      <c r="E709"/>
      <c r="F709"/>
      <c r="G709" s="94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</row>
    <row r="710" spans="2:42" s="54" customFormat="1" ht="15.75" customHeight="1" x14ac:dyDescent="0.25">
      <c r="B710"/>
      <c r="C710"/>
      <c r="D710"/>
      <c r="E710"/>
      <c r="F710"/>
      <c r="G710" s="94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</row>
    <row r="711" spans="2:42" s="54" customFormat="1" ht="15.75" customHeight="1" x14ac:dyDescent="0.25">
      <c r="B711"/>
      <c r="C711"/>
      <c r="D711"/>
      <c r="E711"/>
      <c r="F711"/>
      <c r="G711" s="94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</row>
    <row r="712" spans="2:42" s="54" customFormat="1" ht="15.75" customHeight="1" x14ac:dyDescent="0.25">
      <c r="B712"/>
      <c r="C712"/>
      <c r="D712"/>
      <c r="E712"/>
      <c r="F712"/>
      <c r="G712" s="94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</row>
    <row r="713" spans="2:42" s="54" customFormat="1" ht="15.75" customHeight="1" x14ac:dyDescent="0.25">
      <c r="B713"/>
      <c r="C713"/>
      <c r="D713"/>
      <c r="E713"/>
      <c r="F713"/>
      <c r="G713" s="94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</row>
    <row r="714" spans="2:42" s="54" customFormat="1" ht="15.75" customHeight="1" x14ac:dyDescent="0.25">
      <c r="B714"/>
      <c r="C714"/>
      <c r="D714"/>
      <c r="E714"/>
      <c r="F714"/>
      <c r="G714" s="9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</row>
    <row r="715" spans="2:42" s="54" customFormat="1" ht="15.75" customHeight="1" x14ac:dyDescent="0.25">
      <c r="B715"/>
      <c r="C715"/>
      <c r="D715"/>
      <c r="E715"/>
      <c r="F715"/>
      <c r="G715" s="94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</row>
    <row r="716" spans="2:42" s="54" customFormat="1" ht="15.75" customHeight="1" x14ac:dyDescent="0.25">
      <c r="B716"/>
      <c r="C716"/>
      <c r="D716"/>
      <c r="E716"/>
      <c r="F716"/>
      <c r="G716" s="94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</row>
    <row r="717" spans="2:42" s="54" customFormat="1" ht="15.75" customHeight="1" x14ac:dyDescent="0.25">
      <c r="B717"/>
      <c r="C717"/>
      <c r="D717"/>
      <c r="E717"/>
      <c r="F717"/>
      <c r="G717" s="94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</row>
    <row r="718" spans="2:42" s="54" customFormat="1" ht="15.75" customHeight="1" x14ac:dyDescent="0.25">
      <c r="B718"/>
      <c r="C718"/>
      <c r="D718"/>
      <c r="E718"/>
      <c r="F718"/>
      <c r="G718" s="94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</row>
    <row r="719" spans="2:42" s="54" customFormat="1" ht="15.75" customHeight="1" x14ac:dyDescent="0.25">
      <c r="B719"/>
      <c r="C719"/>
      <c r="D719"/>
      <c r="E719"/>
      <c r="F719"/>
      <c r="G719" s="94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</row>
    <row r="720" spans="2:42" s="54" customFormat="1" ht="15.75" customHeight="1" x14ac:dyDescent="0.25">
      <c r="B720"/>
      <c r="C720"/>
      <c r="D720"/>
      <c r="E720"/>
      <c r="F720"/>
      <c r="G720" s="94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</row>
    <row r="721" spans="2:42" s="54" customFormat="1" ht="15.75" customHeight="1" x14ac:dyDescent="0.25">
      <c r="B721"/>
      <c r="C721"/>
      <c r="D721"/>
      <c r="E721"/>
      <c r="F721"/>
      <c r="G721" s="94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</row>
    <row r="722" spans="2:42" s="54" customFormat="1" ht="15.75" customHeight="1" x14ac:dyDescent="0.25">
      <c r="B722"/>
      <c r="C722"/>
      <c r="D722"/>
      <c r="E722"/>
      <c r="F722"/>
      <c r="G722" s="94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</row>
    <row r="723" spans="2:42" s="54" customFormat="1" ht="15.75" customHeight="1" x14ac:dyDescent="0.25">
      <c r="B723"/>
      <c r="C723"/>
      <c r="D723"/>
      <c r="E723"/>
      <c r="F723"/>
      <c r="G723" s="94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</row>
    <row r="724" spans="2:42" s="54" customFormat="1" ht="15.75" customHeight="1" x14ac:dyDescent="0.25">
      <c r="B724"/>
      <c r="C724"/>
      <c r="D724"/>
      <c r="E724"/>
      <c r="F724"/>
      <c r="G724" s="9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</row>
    <row r="725" spans="2:42" s="54" customFormat="1" ht="15.75" customHeight="1" x14ac:dyDescent="0.25">
      <c r="B725"/>
      <c r="C725"/>
      <c r="D725"/>
      <c r="E725"/>
      <c r="F725"/>
      <c r="G725" s="94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</row>
    <row r="726" spans="2:42" s="54" customFormat="1" ht="15.75" customHeight="1" x14ac:dyDescent="0.25">
      <c r="B726"/>
      <c r="C726"/>
      <c r="D726"/>
      <c r="E726"/>
      <c r="F726"/>
      <c r="G726" s="94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</row>
    <row r="727" spans="2:42" s="54" customFormat="1" ht="15.75" customHeight="1" x14ac:dyDescent="0.25">
      <c r="B727"/>
      <c r="C727"/>
      <c r="D727"/>
      <c r="E727"/>
      <c r="F727"/>
      <c r="G727" s="94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</row>
    <row r="728" spans="2:42" s="54" customFormat="1" ht="15.75" customHeight="1" x14ac:dyDescent="0.25">
      <c r="B728"/>
      <c r="C728"/>
      <c r="D728"/>
      <c r="E728"/>
      <c r="F728"/>
      <c r="G728" s="94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</row>
    <row r="729" spans="2:42" s="54" customFormat="1" ht="15.75" customHeight="1" x14ac:dyDescent="0.25">
      <c r="B729"/>
      <c r="C729"/>
      <c r="D729"/>
      <c r="E729"/>
      <c r="F729"/>
      <c r="G729" s="94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</row>
    <row r="730" spans="2:42" s="54" customFormat="1" ht="15.75" customHeight="1" x14ac:dyDescent="0.25">
      <c r="B730"/>
      <c r="C730"/>
      <c r="D730"/>
      <c r="E730"/>
      <c r="F730"/>
      <c r="G730" s="94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</row>
    <row r="731" spans="2:42" s="54" customFormat="1" ht="15.75" customHeight="1" x14ac:dyDescent="0.25">
      <c r="B731"/>
      <c r="C731"/>
      <c r="D731"/>
      <c r="E731"/>
      <c r="F731"/>
      <c r="G731" s="94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</row>
    <row r="732" spans="2:42" s="54" customFormat="1" ht="15.75" customHeight="1" x14ac:dyDescent="0.25">
      <c r="B732"/>
      <c r="C732"/>
      <c r="D732"/>
      <c r="E732"/>
      <c r="F732"/>
      <c r="G732" s="94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</row>
    <row r="733" spans="2:42" s="54" customFormat="1" ht="15.75" customHeight="1" x14ac:dyDescent="0.25">
      <c r="B733"/>
      <c r="C733"/>
      <c r="D733"/>
      <c r="E733"/>
      <c r="F733"/>
      <c r="G733" s="94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</row>
    <row r="734" spans="2:42" s="54" customFormat="1" ht="15.75" customHeight="1" x14ac:dyDescent="0.25">
      <c r="B734"/>
      <c r="C734"/>
      <c r="D734"/>
      <c r="E734"/>
      <c r="F734"/>
      <c r="G734" s="9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</row>
    <row r="735" spans="2:42" s="54" customFormat="1" ht="15.75" customHeight="1" x14ac:dyDescent="0.25">
      <c r="B735"/>
      <c r="C735"/>
      <c r="D735"/>
      <c r="E735"/>
      <c r="F735"/>
      <c r="G735" s="94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</row>
    <row r="736" spans="2:42" s="54" customFormat="1" ht="15.75" customHeight="1" x14ac:dyDescent="0.25">
      <c r="B736"/>
      <c r="C736"/>
      <c r="D736"/>
      <c r="E736"/>
      <c r="F736"/>
      <c r="G736" s="94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</row>
    <row r="737" spans="2:42" s="54" customFormat="1" ht="15.75" customHeight="1" x14ac:dyDescent="0.25">
      <c r="B737"/>
      <c r="C737"/>
      <c r="D737"/>
      <c r="E737"/>
      <c r="F737"/>
      <c r="G737" s="94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</row>
    <row r="738" spans="2:42" s="54" customFormat="1" ht="15.75" customHeight="1" x14ac:dyDescent="0.25">
      <c r="B738"/>
      <c r="C738"/>
      <c r="D738"/>
      <c r="E738"/>
      <c r="F738"/>
      <c r="G738" s="94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</row>
    <row r="739" spans="2:42" s="54" customFormat="1" ht="15.75" customHeight="1" x14ac:dyDescent="0.25">
      <c r="B739"/>
      <c r="C739"/>
      <c r="D739"/>
      <c r="E739"/>
      <c r="F739"/>
      <c r="G739" s="94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</row>
    <row r="740" spans="2:42" s="54" customFormat="1" ht="15.75" customHeight="1" x14ac:dyDescent="0.25">
      <c r="B740"/>
      <c r="C740"/>
      <c r="D740"/>
      <c r="E740"/>
      <c r="F740"/>
      <c r="G740" s="94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</row>
    <row r="741" spans="2:42" s="54" customFormat="1" ht="15.75" customHeight="1" x14ac:dyDescent="0.25">
      <c r="B741"/>
      <c r="C741"/>
      <c r="D741"/>
      <c r="E741"/>
      <c r="F741"/>
      <c r="G741" s="94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</row>
    <row r="742" spans="2:42" s="54" customFormat="1" ht="15.75" customHeight="1" x14ac:dyDescent="0.25">
      <c r="B742"/>
      <c r="C742"/>
      <c r="D742"/>
      <c r="E742"/>
      <c r="F742"/>
      <c r="G742" s="94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</row>
    <row r="743" spans="2:42" s="54" customFormat="1" ht="15.75" customHeight="1" x14ac:dyDescent="0.25">
      <c r="B743"/>
      <c r="C743"/>
      <c r="D743"/>
      <c r="E743"/>
      <c r="F743"/>
      <c r="G743" s="94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</row>
    <row r="744" spans="2:42" s="54" customFormat="1" ht="15.75" customHeight="1" x14ac:dyDescent="0.25">
      <c r="B744"/>
      <c r="C744"/>
      <c r="D744"/>
      <c r="E744"/>
      <c r="F744"/>
      <c r="G744" s="9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</row>
    <row r="745" spans="2:42" s="54" customFormat="1" ht="15.75" customHeight="1" x14ac:dyDescent="0.25">
      <c r="B745"/>
      <c r="C745"/>
      <c r="D745"/>
      <c r="E745"/>
      <c r="F745"/>
      <c r="G745" s="94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</row>
    <row r="746" spans="2:42" s="54" customFormat="1" ht="15.75" customHeight="1" x14ac:dyDescent="0.25">
      <c r="B746"/>
      <c r="C746"/>
      <c r="D746"/>
      <c r="E746"/>
      <c r="F746"/>
      <c r="G746" s="94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</row>
    <row r="747" spans="2:42" s="54" customFormat="1" ht="15.75" customHeight="1" x14ac:dyDescent="0.25">
      <c r="B747"/>
      <c r="C747"/>
      <c r="D747"/>
      <c r="E747"/>
      <c r="F747"/>
      <c r="G747" s="94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</row>
    <row r="748" spans="2:42" s="54" customFormat="1" ht="15.75" customHeight="1" x14ac:dyDescent="0.25">
      <c r="B748"/>
      <c r="C748"/>
      <c r="D748"/>
      <c r="E748"/>
      <c r="F748"/>
      <c r="G748" s="94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</row>
    <row r="749" spans="2:42" s="54" customFormat="1" ht="15.75" customHeight="1" x14ac:dyDescent="0.25">
      <c r="B749"/>
      <c r="C749"/>
      <c r="D749"/>
      <c r="E749"/>
      <c r="F749"/>
      <c r="G749" s="94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</row>
    <row r="750" spans="2:42" s="54" customFormat="1" ht="15.75" customHeight="1" x14ac:dyDescent="0.25">
      <c r="B750"/>
      <c r="C750"/>
      <c r="D750"/>
      <c r="E750"/>
      <c r="F750"/>
      <c r="G750" s="94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</row>
    <row r="751" spans="2:42" s="54" customFormat="1" ht="15.75" customHeight="1" x14ac:dyDescent="0.25">
      <c r="B751"/>
      <c r="C751"/>
      <c r="D751"/>
      <c r="E751"/>
      <c r="F751"/>
      <c r="G751" s="94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</row>
    <row r="752" spans="2:42" s="54" customFormat="1" ht="15.75" customHeight="1" x14ac:dyDescent="0.25">
      <c r="B752"/>
      <c r="C752"/>
      <c r="D752"/>
      <c r="E752"/>
      <c r="F752"/>
      <c r="G752" s="94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</row>
    <row r="753" spans="2:42" s="54" customFormat="1" ht="15.75" customHeight="1" x14ac:dyDescent="0.25">
      <c r="B753"/>
      <c r="C753"/>
      <c r="D753"/>
      <c r="E753"/>
      <c r="F753"/>
      <c r="G753" s="94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</row>
    <row r="754" spans="2:42" s="54" customFormat="1" ht="15.75" customHeight="1" x14ac:dyDescent="0.25">
      <c r="B754"/>
      <c r="C754"/>
      <c r="D754"/>
      <c r="E754"/>
      <c r="F754"/>
      <c r="G754" s="9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</row>
    <row r="755" spans="2:42" s="54" customFormat="1" ht="15.75" customHeight="1" x14ac:dyDescent="0.25">
      <c r="B755"/>
      <c r="C755"/>
      <c r="D755"/>
      <c r="E755"/>
      <c r="F755"/>
      <c r="G755" s="94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</row>
    <row r="756" spans="2:42" s="54" customFormat="1" ht="15.75" customHeight="1" x14ac:dyDescent="0.25">
      <c r="B756"/>
      <c r="C756"/>
      <c r="D756"/>
      <c r="E756"/>
      <c r="F756"/>
      <c r="G756" s="94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</row>
    <row r="757" spans="2:42" s="54" customFormat="1" ht="15.75" customHeight="1" x14ac:dyDescent="0.25">
      <c r="B757"/>
      <c r="C757"/>
      <c r="D757"/>
      <c r="E757"/>
      <c r="F757"/>
      <c r="G757" s="94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</row>
    <row r="758" spans="2:42" s="54" customFormat="1" ht="15.75" customHeight="1" x14ac:dyDescent="0.25">
      <c r="B758"/>
      <c r="C758"/>
      <c r="D758"/>
      <c r="E758"/>
      <c r="F758"/>
      <c r="G758" s="94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</row>
    <row r="759" spans="2:42" s="54" customFormat="1" ht="15.75" customHeight="1" x14ac:dyDescent="0.25">
      <c r="B759"/>
      <c r="C759"/>
      <c r="D759"/>
      <c r="E759"/>
      <c r="F759"/>
      <c r="G759" s="94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</row>
    <row r="760" spans="2:42" s="54" customFormat="1" ht="15.75" customHeight="1" x14ac:dyDescent="0.25">
      <c r="B760"/>
      <c r="C760"/>
      <c r="D760"/>
      <c r="E760"/>
      <c r="F760"/>
      <c r="G760" s="94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</row>
    <row r="761" spans="2:42" s="54" customFormat="1" ht="15.75" customHeight="1" x14ac:dyDescent="0.25">
      <c r="B761"/>
      <c r="C761"/>
      <c r="D761"/>
      <c r="E761"/>
      <c r="F761"/>
      <c r="G761" s="94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</row>
    <row r="762" spans="2:42" s="54" customFormat="1" ht="15.75" customHeight="1" x14ac:dyDescent="0.25">
      <c r="B762"/>
      <c r="C762"/>
      <c r="D762"/>
      <c r="E762"/>
      <c r="F762"/>
      <c r="G762" s="94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</row>
    <row r="763" spans="2:42" s="54" customFormat="1" ht="15.75" customHeight="1" x14ac:dyDescent="0.25">
      <c r="B763"/>
      <c r="C763"/>
      <c r="D763"/>
      <c r="E763"/>
      <c r="F763"/>
      <c r="G763" s="94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</row>
    <row r="764" spans="2:42" s="54" customFormat="1" ht="15.75" customHeight="1" x14ac:dyDescent="0.25">
      <c r="B764"/>
      <c r="C764"/>
      <c r="D764"/>
      <c r="E764"/>
      <c r="F764"/>
      <c r="G764" s="9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</row>
    <row r="765" spans="2:42" s="54" customFormat="1" ht="15.75" customHeight="1" x14ac:dyDescent="0.25">
      <c r="B765"/>
      <c r="C765"/>
      <c r="D765"/>
      <c r="E765"/>
      <c r="F765"/>
      <c r="G765" s="94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</row>
    <row r="766" spans="2:42" s="54" customFormat="1" ht="15.75" customHeight="1" x14ac:dyDescent="0.25">
      <c r="B766"/>
      <c r="C766"/>
      <c r="D766"/>
      <c r="E766"/>
      <c r="F766"/>
      <c r="G766" s="94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</row>
    <row r="767" spans="2:42" s="54" customFormat="1" ht="15.75" customHeight="1" x14ac:dyDescent="0.25">
      <c r="B767"/>
      <c r="C767"/>
      <c r="D767"/>
      <c r="E767"/>
      <c r="F767"/>
      <c r="G767" s="94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</row>
    <row r="768" spans="2:42" s="54" customFormat="1" ht="15.75" customHeight="1" x14ac:dyDescent="0.25">
      <c r="B768"/>
      <c r="C768"/>
      <c r="D768"/>
      <c r="E768"/>
      <c r="F768"/>
      <c r="G768" s="94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</row>
    <row r="769" spans="2:42" s="54" customFormat="1" ht="15.75" customHeight="1" x14ac:dyDescent="0.25">
      <c r="B769"/>
      <c r="C769"/>
      <c r="D769"/>
      <c r="E769"/>
      <c r="F769"/>
      <c r="G769" s="94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</row>
    <row r="770" spans="2:42" s="54" customFormat="1" ht="15.75" customHeight="1" x14ac:dyDescent="0.25">
      <c r="B770"/>
      <c r="C770"/>
      <c r="D770"/>
      <c r="E770"/>
      <c r="F770"/>
      <c r="G770" s="94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</row>
    <row r="771" spans="2:42" s="54" customFormat="1" ht="15.75" customHeight="1" x14ac:dyDescent="0.25">
      <c r="B771"/>
      <c r="C771"/>
      <c r="D771"/>
      <c r="E771"/>
      <c r="F771"/>
      <c r="G771" s="94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</row>
    <row r="772" spans="2:42" s="54" customFormat="1" ht="15.75" customHeight="1" x14ac:dyDescent="0.25">
      <c r="B772"/>
      <c r="C772"/>
      <c r="D772"/>
      <c r="E772"/>
      <c r="F772"/>
      <c r="G772" s="94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</row>
    <row r="773" spans="2:42" s="54" customFormat="1" ht="15.75" customHeight="1" x14ac:dyDescent="0.25">
      <c r="B773"/>
      <c r="C773"/>
      <c r="D773"/>
      <c r="E773"/>
      <c r="F773"/>
      <c r="G773" s="94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</row>
    <row r="774" spans="2:42" s="54" customFormat="1" ht="15.75" customHeight="1" x14ac:dyDescent="0.25">
      <c r="B774"/>
      <c r="C774"/>
      <c r="D774"/>
      <c r="E774"/>
      <c r="F774"/>
      <c r="G774" s="9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</row>
    <row r="775" spans="2:42" s="54" customFormat="1" ht="15.75" customHeight="1" x14ac:dyDescent="0.25">
      <c r="B775"/>
      <c r="C775"/>
      <c r="D775"/>
      <c r="E775"/>
      <c r="F775"/>
      <c r="G775" s="94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</row>
    <row r="776" spans="2:42" s="54" customFormat="1" ht="15.75" customHeight="1" x14ac:dyDescent="0.25">
      <c r="B776"/>
      <c r="C776"/>
      <c r="D776"/>
      <c r="E776"/>
      <c r="F776"/>
      <c r="G776" s="94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</row>
    <row r="777" spans="2:42" s="54" customFormat="1" ht="15.75" customHeight="1" x14ac:dyDescent="0.25">
      <c r="B777"/>
      <c r="C777"/>
      <c r="D777"/>
      <c r="E777"/>
      <c r="F777"/>
      <c r="G777" s="94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</row>
    <row r="778" spans="2:42" s="54" customFormat="1" ht="15.75" customHeight="1" x14ac:dyDescent="0.25">
      <c r="B778"/>
      <c r="C778"/>
      <c r="D778"/>
      <c r="E778"/>
      <c r="F778"/>
      <c r="G778" s="94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</row>
    <row r="779" spans="2:42" s="54" customFormat="1" ht="15.75" customHeight="1" x14ac:dyDescent="0.25">
      <c r="B779"/>
      <c r="C779"/>
      <c r="D779"/>
      <c r="E779"/>
      <c r="F779"/>
      <c r="G779" s="94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</row>
    <row r="780" spans="2:42" s="54" customFormat="1" ht="15.75" customHeight="1" x14ac:dyDescent="0.25">
      <c r="B780"/>
      <c r="C780"/>
      <c r="D780"/>
      <c r="E780"/>
      <c r="F780"/>
      <c r="G780" s="94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</row>
    <row r="781" spans="2:42" s="54" customFormat="1" ht="15.75" customHeight="1" x14ac:dyDescent="0.25">
      <c r="B781"/>
      <c r="C781"/>
      <c r="D781"/>
      <c r="E781"/>
      <c r="F781"/>
      <c r="G781" s="94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</row>
    <row r="782" spans="2:42" s="54" customFormat="1" ht="15.75" customHeight="1" x14ac:dyDescent="0.25">
      <c r="B782"/>
      <c r="C782"/>
      <c r="D782"/>
      <c r="E782"/>
      <c r="F782"/>
      <c r="G782" s="94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</row>
    <row r="783" spans="2:42" s="54" customFormat="1" ht="15.75" customHeight="1" x14ac:dyDescent="0.25">
      <c r="B783"/>
      <c r="C783"/>
      <c r="D783"/>
      <c r="E783"/>
      <c r="F783"/>
      <c r="G783" s="94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</row>
    <row r="784" spans="2:42" s="54" customFormat="1" ht="15.75" customHeight="1" x14ac:dyDescent="0.25">
      <c r="B784"/>
      <c r="C784"/>
      <c r="D784"/>
      <c r="E784"/>
      <c r="F784"/>
      <c r="G784" s="9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</row>
    <row r="785" spans="2:42" s="54" customFormat="1" ht="15.75" customHeight="1" x14ac:dyDescent="0.25">
      <c r="B785"/>
      <c r="C785"/>
      <c r="D785"/>
      <c r="E785"/>
      <c r="F785"/>
      <c r="G785" s="94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</row>
    <row r="786" spans="2:42" s="54" customFormat="1" ht="15.75" customHeight="1" x14ac:dyDescent="0.25">
      <c r="B786"/>
      <c r="C786"/>
      <c r="D786"/>
      <c r="E786"/>
      <c r="F786"/>
      <c r="G786" s="94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</row>
    <row r="787" spans="2:42" s="54" customFormat="1" ht="15.75" customHeight="1" x14ac:dyDescent="0.25">
      <c r="B787"/>
      <c r="C787"/>
      <c r="D787"/>
      <c r="E787"/>
      <c r="F787"/>
      <c r="G787" s="94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</row>
    <row r="788" spans="2:42" s="54" customFormat="1" ht="15.75" customHeight="1" x14ac:dyDescent="0.25">
      <c r="B788"/>
      <c r="C788"/>
      <c r="D788"/>
      <c r="E788"/>
      <c r="F788"/>
      <c r="G788" s="94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</row>
    <row r="789" spans="2:42" s="54" customFormat="1" ht="15.75" customHeight="1" x14ac:dyDescent="0.25">
      <c r="B789"/>
      <c r="C789"/>
      <c r="D789"/>
      <c r="E789"/>
      <c r="F789"/>
      <c r="G789" s="94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</row>
    <row r="790" spans="2:42" s="54" customFormat="1" ht="15.75" customHeight="1" x14ac:dyDescent="0.25">
      <c r="B790"/>
      <c r="C790"/>
      <c r="D790"/>
      <c r="E790"/>
      <c r="F790"/>
      <c r="G790" s="94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</row>
    <row r="791" spans="2:42" s="54" customFormat="1" ht="15.75" customHeight="1" x14ac:dyDescent="0.25">
      <c r="B791"/>
      <c r="C791"/>
      <c r="D791"/>
      <c r="E791"/>
      <c r="F791"/>
      <c r="G791" s="94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</row>
    <row r="792" spans="2:42" s="54" customFormat="1" ht="15.75" customHeight="1" x14ac:dyDescent="0.25">
      <c r="B792"/>
      <c r="C792"/>
      <c r="D792"/>
      <c r="E792"/>
      <c r="F792"/>
      <c r="G792" s="94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</row>
    <row r="793" spans="2:42" s="54" customFormat="1" ht="15.75" customHeight="1" x14ac:dyDescent="0.25">
      <c r="B793"/>
      <c r="C793"/>
      <c r="D793"/>
      <c r="E793"/>
      <c r="F793"/>
      <c r="G793" s="94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</row>
    <row r="794" spans="2:42" s="54" customFormat="1" ht="15.75" customHeight="1" x14ac:dyDescent="0.25">
      <c r="B794"/>
      <c r="C794"/>
      <c r="D794"/>
      <c r="E794"/>
      <c r="F794"/>
      <c r="G794" s="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</row>
    <row r="795" spans="2:42" s="54" customFormat="1" ht="15.75" customHeight="1" x14ac:dyDescent="0.25">
      <c r="B795"/>
      <c r="C795"/>
      <c r="D795"/>
      <c r="E795"/>
      <c r="F795"/>
      <c r="G795" s="94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</row>
    <row r="796" spans="2:42" s="54" customFormat="1" ht="15.75" customHeight="1" x14ac:dyDescent="0.25">
      <c r="B796"/>
      <c r="C796"/>
      <c r="D796"/>
      <c r="E796"/>
      <c r="F796"/>
      <c r="G796" s="94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</row>
    <row r="797" spans="2:42" s="54" customFormat="1" ht="15.75" customHeight="1" x14ac:dyDescent="0.25">
      <c r="B797"/>
      <c r="C797"/>
      <c r="D797"/>
      <c r="E797"/>
      <c r="F797"/>
      <c r="G797" s="94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</row>
    <row r="798" spans="2:42" s="54" customFormat="1" ht="15.75" customHeight="1" x14ac:dyDescent="0.25">
      <c r="B798"/>
      <c r="C798"/>
      <c r="D798"/>
      <c r="E798"/>
      <c r="F798"/>
      <c r="G798" s="94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</row>
    <row r="799" spans="2:42" s="54" customFormat="1" ht="15.75" customHeight="1" x14ac:dyDescent="0.25">
      <c r="B799"/>
      <c r="C799"/>
      <c r="D799"/>
      <c r="E799"/>
      <c r="F799"/>
      <c r="G799" s="94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</row>
    <row r="800" spans="2:42" s="54" customFormat="1" ht="15.75" customHeight="1" x14ac:dyDescent="0.25">
      <c r="B800"/>
      <c r="C800"/>
      <c r="D800"/>
      <c r="E800"/>
      <c r="F800"/>
      <c r="G800" s="94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</row>
    <row r="801" spans="2:42" s="54" customFormat="1" ht="15.75" customHeight="1" x14ac:dyDescent="0.25">
      <c r="B801"/>
      <c r="C801"/>
      <c r="D801"/>
      <c r="E801"/>
      <c r="F801"/>
      <c r="G801" s="94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</row>
    <row r="802" spans="2:42" s="54" customFormat="1" ht="15.75" customHeight="1" x14ac:dyDescent="0.25">
      <c r="B802"/>
      <c r="C802"/>
      <c r="D802"/>
      <c r="E802"/>
      <c r="F802"/>
      <c r="G802" s="94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</row>
    <row r="803" spans="2:42" s="54" customFormat="1" ht="15.75" customHeight="1" x14ac:dyDescent="0.25">
      <c r="B803"/>
      <c r="C803"/>
      <c r="D803"/>
      <c r="E803"/>
      <c r="F803"/>
      <c r="G803" s="94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</row>
    <row r="804" spans="2:42" s="54" customFormat="1" ht="15.75" customHeight="1" x14ac:dyDescent="0.25">
      <c r="B804"/>
      <c r="C804"/>
      <c r="D804"/>
      <c r="E804"/>
      <c r="F804"/>
      <c r="G804" s="9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</row>
    <row r="805" spans="2:42" s="54" customFormat="1" ht="15.75" customHeight="1" x14ac:dyDescent="0.25">
      <c r="B805"/>
      <c r="C805"/>
      <c r="D805"/>
      <c r="E805"/>
      <c r="F805"/>
      <c r="G805" s="94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</row>
    <row r="806" spans="2:42" s="54" customFormat="1" ht="15.75" customHeight="1" x14ac:dyDescent="0.25">
      <c r="B806"/>
      <c r="C806"/>
      <c r="D806"/>
      <c r="E806"/>
      <c r="F806"/>
      <c r="G806" s="94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</row>
    <row r="807" spans="2:42" s="54" customFormat="1" ht="15.75" customHeight="1" x14ac:dyDescent="0.25">
      <c r="B807"/>
      <c r="C807"/>
      <c r="D807"/>
      <c r="E807"/>
      <c r="F807"/>
      <c r="G807" s="94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</row>
    <row r="808" spans="2:42" s="54" customFormat="1" ht="15.75" customHeight="1" x14ac:dyDescent="0.25">
      <c r="B808"/>
      <c r="C808"/>
      <c r="D808"/>
      <c r="E808"/>
      <c r="F808"/>
      <c r="G808" s="94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</row>
    <row r="809" spans="2:42" s="54" customFormat="1" ht="15.75" customHeight="1" x14ac:dyDescent="0.25">
      <c r="B809"/>
      <c r="C809"/>
      <c r="D809"/>
      <c r="E809"/>
      <c r="F809"/>
      <c r="G809" s="94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</row>
    <row r="810" spans="2:42" s="54" customFormat="1" ht="15.75" customHeight="1" x14ac:dyDescent="0.25">
      <c r="B810"/>
      <c r="C810"/>
      <c r="D810"/>
      <c r="E810"/>
      <c r="F810"/>
      <c r="G810" s="94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</row>
    <row r="811" spans="2:42" s="54" customFormat="1" ht="15.75" customHeight="1" x14ac:dyDescent="0.25">
      <c r="B811"/>
      <c r="C811"/>
      <c r="D811"/>
      <c r="E811"/>
      <c r="F811"/>
      <c r="G811" s="94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</row>
    <row r="812" spans="2:42" s="54" customFormat="1" ht="15.75" customHeight="1" x14ac:dyDescent="0.25">
      <c r="B812"/>
      <c r="C812"/>
      <c r="D812"/>
      <c r="E812"/>
      <c r="F812"/>
      <c r="G812" s="94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</row>
    <row r="813" spans="2:42" s="54" customFormat="1" ht="15.75" customHeight="1" x14ac:dyDescent="0.25">
      <c r="B813"/>
      <c r="C813"/>
      <c r="D813"/>
      <c r="E813"/>
      <c r="F813"/>
      <c r="G813" s="94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</row>
    <row r="814" spans="2:42" s="54" customFormat="1" ht="15.75" customHeight="1" x14ac:dyDescent="0.25">
      <c r="B814"/>
      <c r="C814"/>
      <c r="D814"/>
      <c r="E814"/>
      <c r="F814"/>
      <c r="G814" s="9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</row>
    <row r="815" spans="2:42" s="54" customFormat="1" ht="15.75" customHeight="1" x14ac:dyDescent="0.25">
      <c r="B815"/>
      <c r="C815"/>
      <c r="D815"/>
      <c r="E815"/>
      <c r="F815"/>
      <c r="G815" s="94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</row>
    <row r="816" spans="2:42" s="54" customFormat="1" ht="15.75" customHeight="1" x14ac:dyDescent="0.25">
      <c r="B816"/>
      <c r="C816"/>
      <c r="D816"/>
      <c r="E816"/>
      <c r="F816"/>
      <c r="G816" s="94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</row>
    <row r="817" spans="2:42" s="54" customFormat="1" ht="15.75" customHeight="1" x14ac:dyDescent="0.25">
      <c r="B817"/>
      <c r="C817"/>
      <c r="D817"/>
      <c r="E817"/>
      <c r="F817"/>
      <c r="G817" s="94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</row>
    <row r="818" spans="2:42" s="54" customFormat="1" ht="15.75" customHeight="1" x14ac:dyDescent="0.25">
      <c r="B818"/>
      <c r="C818"/>
      <c r="D818"/>
      <c r="E818"/>
      <c r="F818"/>
      <c r="G818" s="94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</row>
    <row r="819" spans="2:42" s="54" customFormat="1" ht="15.75" customHeight="1" x14ac:dyDescent="0.25">
      <c r="B819"/>
      <c r="C819"/>
      <c r="D819"/>
      <c r="E819"/>
      <c r="F819"/>
      <c r="G819" s="94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</row>
    <row r="820" spans="2:42" s="54" customFormat="1" ht="15.75" customHeight="1" x14ac:dyDescent="0.25">
      <c r="B820"/>
      <c r="C820"/>
      <c r="D820"/>
      <c r="E820"/>
      <c r="F820"/>
      <c r="G820" s="94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</row>
    <row r="821" spans="2:42" s="54" customFormat="1" ht="15.75" customHeight="1" x14ac:dyDescent="0.25">
      <c r="B821"/>
      <c r="C821"/>
      <c r="D821"/>
      <c r="E821"/>
      <c r="F821"/>
      <c r="G821" s="94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</row>
    <row r="822" spans="2:42" s="54" customFormat="1" ht="15.75" customHeight="1" x14ac:dyDescent="0.25">
      <c r="B822"/>
      <c r="C822"/>
      <c r="D822"/>
      <c r="E822"/>
      <c r="F822"/>
      <c r="G822" s="94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</row>
    <row r="823" spans="2:42" s="54" customFormat="1" ht="15.75" customHeight="1" x14ac:dyDescent="0.25">
      <c r="B823"/>
      <c r="C823"/>
      <c r="D823"/>
      <c r="E823"/>
      <c r="F823"/>
      <c r="G823" s="94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</row>
    <row r="824" spans="2:42" s="54" customFormat="1" ht="15.75" customHeight="1" x14ac:dyDescent="0.25">
      <c r="B824"/>
      <c r="C824"/>
      <c r="D824"/>
      <c r="E824"/>
      <c r="F824"/>
      <c r="G824" s="9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</row>
    <row r="825" spans="2:42" s="54" customFormat="1" ht="15.75" customHeight="1" x14ac:dyDescent="0.25">
      <c r="B825"/>
      <c r="C825"/>
      <c r="D825"/>
      <c r="E825"/>
      <c r="F825"/>
      <c r="G825" s="94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</row>
    <row r="826" spans="2:42" s="54" customFormat="1" ht="15.75" customHeight="1" x14ac:dyDescent="0.25">
      <c r="B826"/>
      <c r="C826"/>
      <c r="D826"/>
      <c r="E826"/>
      <c r="F826"/>
      <c r="G826" s="94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</row>
    <row r="827" spans="2:42" s="54" customFormat="1" ht="15.75" customHeight="1" x14ac:dyDescent="0.25">
      <c r="B827"/>
      <c r="C827"/>
      <c r="D827"/>
      <c r="E827"/>
      <c r="F827"/>
      <c r="G827" s="94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</row>
    <row r="828" spans="2:42" s="54" customFormat="1" ht="15.75" customHeight="1" x14ac:dyDescent="0.25">
      <c r="B828"/>
      <c r="C828"/>
      <c r="D828"/>
      <c r="E828"/>
      <c r="F828"/>
      <c r="G828" s="94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</row>
    <row r="829" spans="2:42" s="54" customFormat="1" ht="15.75" customHeight="1" x14ac:dyDescent="0.25">
      <c r="B829"/>
      <c r="C829"/>
      <c r="D829"/>
      <c r="E829"/>
      <c r="F829"/>
      <c r="G829" s="94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</row>
    <row r="830" spans="2:42" s="54" customFormat="1" ht="15.75" customHeight="1" x14ac:dyDescent="0.25">
      <c r="B830"/>
      <c r="C830"/>
      <c r="D830"/>
      <c r="E830"/>
      <c r="F830"/>
      <c r="G830" s="94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</row>
    <row r="831" spans="2:42" s="54" customFormat="1" ht="15.75" customHeight="1" x14ac:dyDescent="0.25">
      <c r="B831"/>
      <c r="C831"/>
      <c r="D831"/>
      <c r="E831"/>
      <c r="F831"/>
      <c r="G831" s="94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</row>
    <row r="832" spans="2:42" s="54" customFormat="1" ht="15.75" customHeight="1" x14ac:dyDescent="0.25">
      <c r="B832"/>
      <c r="C832"/>
      <c r="D832"/>
      <c r="E832"/>
      <c r="F832"/>
      <c r="G832" s="94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</row>
    <row r="833" spans="2:42" s="54" customFormat="1" ht="15.75" customHeight="1" x14ac:dyDescent="0.25">
      <c r="B833"/>
      <c r="C833"/>
      <c r="D833"/>
      <c r="E833"/>
      <c r="F833"/>
      <c r="G833" s="94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</row>
    <row r="834" spans="2:42" s="54" customFormat="1" ht="15.75" customHeight="1" x14ac:dyDescent="0.25">
      <c r="B834"/>
      <c r="C834"/>
      <c r="D834"/>
      <c r="E834"/>
      <c r="F834"/>
      <c r="G834" s="9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</row>
    <row r="835" spans="2:42" s="54" customFormat="1" ht="15.75" customHeight="1" x14ac:dyDescent="0.25">
      <c r="B835"/>
      <c r="C835"/>
      <c r="D835"/>
      <c r="E835"/>
      <c r="F835"/>
      <c r="G835" s="94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</row>
    <row r="836" spans="2:42" s="54" customFormat="1" ht="15.75" customHeight="1" x14ac:dyDescent="0.25">
      <c r="B836"/>
      <c r="C836"/>
      <c r="D836"/>
      <c r="E836"/>
      <c r="F836"/>
      <c r="G836" s="94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</row>
    <row r="837" spans="2:42" s="54" customFormat="1" ht="15.75" customHeight="1" x14ac:dyDescent="0.25">
      <c r="B837"/>
      <c r="C837"/>
      <c r="D837"/>
      <c r="E837"/>
      <c r="F837"/>
      <c r="G837" s="94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</row>
    <row r="838" spans="2:42" s="54" customFormat="1" ht="15.75" customHeight="1" x14ac:dyDescent="0.25">
      <c r="B838"/>
      <c r="C838"/>
      <c r="D838"/>
      <c r="E838"/>
      <c r="F838"/>
      <c r="G838" s="94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</row>
    <row r="839" spans="2:42" s="54" customFormat="1" ht="15.75" customHeight="1" x14ac:dyDescent="0.25">
      <c r="B839"/>
      <c r="C839"/>
      <c r="D839"/>
      <c r="E839"/>
      <c r="F839"/>
      <c r="G839" s="94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</row>
    <row r="840" spans="2:42" s="54" customFormat="1" ht="15.75" customHeight="1" x14ac:dyDescent="0.25">
      <c r="B840"/>
      <c r="C840"/>
      <c r="D840"/>
      <c r="E840"/>
      <c r="F840"/>
      <c r="G840" s="94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</row>
    <row r="841" spans="2:42" s="54" customFormat="1" ht="15.75" customHeight="1" x14ac:dyDescent="0.25">
      <c r="B841"/>
      <c r="C841"/>
      <c r="D841"/>
      <c r="E841"/>
      <c r="F841"/>
      <c r="G841" s="94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</row>
    <row r="842" spans="2:42" s="54" customFormat="1" ht="15.75" customHeight="1" x14ac:dyDescent="0.25">
      <c r="B842"/>
      <c r="C842"/>
      <c r="D842"/>
      <c r="E842"/>
      <c r="F842"/>
      <c r="G842" s="94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</row>
    <row r="843" spans="2:42" s="54" customFormat="1" ht="15.75" customHeight="1" x14ac:dyDescent="0.25">
      <c r="B843"/>
      <c r="C843"/>
      <c r="D843"/>
      <c r="E843"/>
      <c r="F843"/>
      <c r="G843" s="94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</row>
    <row r="844" spans="2:42" s="54" customFormat="1" ht="15.75" customHeight="1" x14ac:dyDescent="0.25">
      <c r="B844"/>
      <c r="C844"/>
      <c r="D844"/>
      <c r="E844"/>
      <c r="F844"/>
      <c r="G844" s="9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</row>
    <row r="845" spans="2:42" s="54" customFormat="1" ht="15.75" customHeight="1" x14ac:dyDescent="0.25">
      <c r="B845"/>
      <c r="C845"/>
      <c r="D845"/>
      <c r="E845"/>
      <c r="F845"/>
      <c r="G845" s="94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</row>
    <row r="846" spans="2:42" s="54" customFormat="1" ht="15.75" customHeight="1" x14ac:dyDescent="0.25">
      <c r="B846"/>
      <c r="C846"/>
      <c r="D846"/>
      <c r="E846"/>
      <c r="F846"/>
      <c r="G846" s="94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</row>
    <row r="847" spans="2:42" s="54" customFormat="1" ht="15.75" customHeight="1" x14ac:dyDescent="0.25">
      <c r="B847"/>
      <c r="C847"/>
      <c r="D847"/>
      <c r="E847"/>
      <c r="F847"/>
      <c r="G847" s="94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</row>
    <row r="848" spans="2:42" s="54" customFormat="1" ht="15.75" customHeight="1" x14ac:dyDescent="0.25">
      <c r="B848"/>
      <c r="C848"/>
      <c r="D848"/>
      <c r="E848"/>
      <c r="F848"/>
      <c r="G848" s="94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</row>
    <row r="849" spans="2:42" s="54" customFormat="1" ht="15.75" customHeight="1" x14ac:dyDescent="0.25">
      <c r="B849"/>
      <c r="C849"/>
      <c r="D849"/>
      <c r="E849"/>
      <c r="F849"/>
      <c r="G849" s="94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</row>
    <row r="850" spans="2:42" s="54" customFormat="1" ht="15.75" customHeight="1" x14ac:dyDescent="0.25">
      <c r="B850"/>
      <c r="C850"/>
      <c r="D850"/>
      <c r="E850"/>
      <c r="F850"/>
      <c r="G850" s="94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</row>
    <row r="851" spans="2:42" s="54" customFormat="1" ht="15.75" customHeight="1" x14ac:dyDescent="0.25">
      <c r="B851"/>
      <c r="C851"/>
      <c r="D851"/>
      <c r="E851"/>
      <c r="F851"/>
      <c r="G851" s="94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</row>
    <row r="852" spans="2:42" s="54" customFormat="1" ht="15.75" customHeight="1" x14ac:dyDescent="0.25">
      <c r="B852"/>
      <c r="C852"/>
      <c r="D852"/>
      <c r="E852"/>
      <c r="F852"/>
      <c r="G852" s="94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</row>
    <row r="853" spans="2:42" s="54" customFormat="1" ht="15.75" customHeight="1" x14ac:dyDescent="0.25">
      <c r="B853"/>
      <c r="C853"/>
      <c r="D853"/>
      <c r="E853"/>
      <c r="F853"/>
      <c r="G853" s="94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</row>
    <row r="854" spans="2:42" s="54" customFormat="1" ht="15.75" customHeight="1" x14ac:dyDescent="0.25">
      <c r="B854"/>
      <c r="C854"/>
      <c r="D854"/>
      <c r="E854"/>
      <c r="F854"/>
      <c r="G854" s="9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</row>
    <row r="855" spans="2:42" s="54" customFormat="1" ht="15.75" customHeight="1" x14ac:dyDescent="0.25">
      <c r="B855"/>
      <c r="C855"/>
      <c r="D855"/>
      <c r="E855"/>
      <c r="F855"/>
      <c r="G855" s="94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</row>
    <row r="856" spans="2:42" s="54" customFormat="1" ht="15.75" customHeight="1" x14ac:dyDescent="0.25">
      <c r="B856"/>
      <c r="C856"/>
      <c r="D856"/>
      <c r="E856"/>
      <c r="F856"/>
      <c r="G856" s="94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</row>
    <row r="857" spans="2:42" s="54" customFormat="1" ht="15.75" customHeight="1" x14ac:dyDescent="0.25">
      <c r="B857"/>
      <c r="C857"/>
      <c r="D857"/>
      <c r="E857"/>
      <c r="F857"/>
      <c r="G857" s="94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</row>
    <row r="858" spans="2:42" s="54" customFormat="1" ht="15.75" customHeight="1" x14ac:dyDescent="0.25">
      <c r="B858"/>
      <c r="C858"/>
      <c r="D858"/>
      <c r="E858"/>
      <c r="F858"/>
      <c r="G858" s="94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</row>
    <row r="859" spans="2:42" s="54" customFormat="1" ht="15.75" customHeight="1" x14ac:dyDescent="0.25">
      <c r="B859"/>
      <c r="C859"/>
      <c r="D859"/>
      <c r="E859"/>
      <c r="F859"/>
      <c r="G859" s="94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</row>
    <row r="860" spans="2:42" s="54" customFormat="1" ht="15.75" customHeight="1" x14ac:dyDescent="0.25">
      <c r="B860"/>
      <c r="C860"/>
      <c r="D860"/>
      <c r="E860"/>
      <c r="F860"/>
      <c r="G860" s="94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</row>
    <row r="861" spans="2:42" s="54" customFormat="1" ht="15.75" customHeight="1" x14ac:dyDescent="0.25">
      <c r="B861"/>
      <c r="C861"/>
      <c r="D861"/>
      <c r="E861"/>
      <c r="F861"/>
      <c r="G861" s="94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</row>
    <row r="862" spans="2:42" s="54" customFormat="1" ht="15.75" customHeight="1" x14ac:dyDescent="0.25">
      <c r="B862"/>
      <c r="C862"/>
      <c r="D862"/>
      <c r="E862"/>
      <c r="F862"/>
      <c r="G862" s="94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</row>
    <row r="863" spans="2:42" s="54" customFormat="1" ht="15.75" customHeight="1" x14ac:dyDescent="0.25">
      <c r="B863"/>
      <c r="C863"/>
      <c r="D863"/>
      <c r="E863"/>
      <c r="F863"/>
      <c r="G863" s="94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</row>
    <row r="864" spans="2:42" s="54" customFormat="1" ht="15.75" customHeight="1" x14ac:dyDescent="0.25">
      <c r="B864"/>
      <c r="C864"/>
      <c r="D864"/>
      <c r="E864"/>
      <c r="F864"/>
      <c r="G864" s="9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</row>
    <row r="865" spans="2:42" s="54" customFormat="1" ht="15.75" customHeight="1" x14ac:dyDescent="0.25">
      <c r="B865"/>
      <c r="C865"/>
      <c r="D865"/>
      <c r="E865"/>
      <c r="F865"/>
      <c r="G865" s="94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</row>
    <row r="866" spans="2:42" s="54" customFormat="1" ht="15.75" customHeight="1" x14ac:dyDescent="0.25">
      <c r="B866"/>
      <c r="C866"/>
      <c r="D866"/>
      <c r="E866"/>
      <c r="F866"/>
      <c r="G866" s="94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</row>
    <row r="867" spans="2:42" s="54" customFormat="1" ht="15.75" customHeight="1" x14ac:dyDescent="0.25">
      <c r="B867"/>
      <c r="C867"/>
      <c r="D867"/>
      <c r="E867"/>
      <c r="F867"/>
      <c r="G867" s="94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</row>
    <row r="868" spans="2:42" s="54" customFormat="1" ht="15.75" customHeight="1" x14ac:dyDescent="0.25">
      <c r="B868"/>
      <c r="C868"/>
      <c r="D868"/>
      <c r="E868"/>
      <c r="F868"/>
      <c r="G868" s="94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</row>
    <row r="869" spans="2:42" s="54" customFormat="1" ht="15.75" customHeight="1" x14ac:dyDescent="0.25">
      <c r="B869"/>
      <c r="C869"/>
      <c r="D869"/>
      <c r="E869"/>
      <c r="F869"/>
      <c r="G869" s="94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</row>
    <row r="870" spans="2:42" s="54" customFormat="1" ht="15.75" customHeight="1" x14ac:dyDescent="0.25">
      <c r="B870"/>
      <c r="C870"/>
      <c r="D870"/>
      <c r="E870"/>
      <c r="F870"/>
      <c r="G870" s="94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</row>
    <row r="871" spans="2:42" s="54" customFormat="1" ht="15.75" customHeight="1" x14ac:dyDescent="0.25">
      <c r="B871"/>
      <c r="C871"/>
      <c r="D871"/>
      <c r="E871"/>
      <c r="F871"/>
      <c r="G871" s="94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</row>
    <row r="872" spans="2:42" s="54" customFormat="1" ht="15.75" customHeight="1" x14ac:dyDescent="0.25">
      <c r="B872"/>
      <c r="C872"/>
      <c r="D872"/>
      <c r="E872"/>
      <c r="F872"/>
      <c r="G872" s="94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</row>
    <row r="873" spans="2:42" s="54" customFormat="1" ht="15.75" customHeight="1" x14ac:dyDescent="0.25">
      <c r="B873"/>
      <c r="C873"/>
      <c r="D873"/>
      <c r="E873"/>
      <c r="F873"/>
      <c r="G873" s="94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</row>
    <row r="874" spans="2:42" s="54" customFormat="1" ht="15.75" customHeight="1" x14ac:dyDescent="0.25">
      <c r="B874"/>
      <c r="C874"/>
      <c r="D874"/>
      <c r="E874"/>
      <c r="F874"/>
      <c r="G874" s="9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</row>
    <row r="875" spans="2:42" s="54" customFormat="1" ht="15.75" customHeight="1" x14ac:dyDescent="0.25">
      <c r="B875"/>
      <c r="C875"/>
      <c r="D875"/>
      <c r="E875"/>
      <c r="F875"/>
      <c r="G875" s="94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</row>
    <row r="876" spans="2:42" s="54" customFormat="1" ht="15.75" customHeight="1" x14ac:dyDescent="0.25">
      <c r="B876"/>
      <c r="C876"/>
      <c r="D876"/>
      <c r="E876"/>
      <c r="F876"/>
      <c r="G876" s="94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</row>
    <row r="877" spans="2:42" s="54" customFormat="1" ht="15.75" customHeight="1" x14ac:dyDescent="0.25">
      <c r="B877"/>
      <c r="C877"/>
      <c r="D877"/>
      <c r="E877"/>
      <c r="F877"/>
      <c r="G877" s="94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</row>
    <row r="878" spans="2:42" s="54" customFormat="1" ht="15.75" customHeight="1" x14ac:dyDescent="0.25">
      <c r="B878"/>
      <c r="C878"/>
      <c r="D878"/>
      <c r="E878"/>
      <c r="F878"/>
      <c r="G878" s="94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</row>
    <row r="879" spans="2:42" s="54" customFormat="1" ht="15.75" customHeight="1" x14ac:dyDescent="0.25">
      <c r="B879"/>
      <c r="C879"/>
      <c r="D879"/>
      <c r="E879"/>
      <c r="F879"/>
      <c r="G879" s="94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</row>
    <row r="880" spans="2:42" s="54" customFormat="1" ht="15.75" customHeight="1" x14ac:dyDescent="0.25">
      <c r="B880"/>
      <c r="C880"/>
      <c r="D880"/>
      <c r="E880"/>
      <c r="F880"/>
      <c r="G880" s="94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</row>
    <row r="881" spans="2:42" s="54" customFormat="1" ht="15.75" customHeight="1" x14ac:dyDescent="0.25">
      <c r="B881"/>
      <c r="C881"/>
      <c r="D881"/>
      <c r="E881"/>
      <c r="F881"/>
      <c r="G881" s="94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</row>
    <row r="882" spans="2:42" s="54" customFormat="1" ht="15.75" customHeight="1" x14ac:dyDescent="0.25">
      <c r="B882"/>
      <c r="C882"/>
      <c r="D882"/>
      <c r="E882"/>
      <c r="F882"/>
      <c r="G882" s="94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</row>
    <row r="883" spans="2:42" s="54" customFormat="1" ht="15.75" customHeight="1" x14ac:dyDescent="0.25">
      <c r="B883"/>
      <c r="C883"/>
      <c r="D883"/>
      <c r="E883"/>
      <c r="F883"/>
      <c r="G883" s="94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</row>
    <row r="884" spans="2:42" s="54" customFormat="1" ht="15.75" customHeight="1" x14ac:dyDescent="0.25">
      <c r="B884"/>
      <c r="C884"/>
      <c r="D884"/>
      <c r="E884"/>
      <c r="F884"/>
      <c r="G884" s="9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</row>
    <row r="885" spans="2:42" s="54" customFormat="1" ht="15.75" customHeight="1" x14ac:dyDescent="0.25">
      <c r="B885"/>
      <c r="C885"/>
      <c r="D885"/>
      <c r="E885"/>
      <c r="F885"/>
      <c r="G885" s="94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</row>
    <row r="886" spans="2:42" s="54" customFormat="1" ht="15.75" customHeight="1" x14ac:dyDescent="0.25">
      <c r="B886"/>
      <c r="C886"/>
      <c r="D886"/>
      <c r="E886"/>
      <c r="F886"/>
      <c r="G886" s="94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</row>
    <row r="887" spans="2:42" s="54" customFormat="1" ht="15.75" customHeight="1" x14ac:dyDescent="0.25">
      <c r="B887"/>
      <c r="C887"/>
      <c r="D887"/>
      <c r="E887"/>
      <c r="F887"/>
      <c r="G887" s="94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</row>
    <row r="888" spans="2:42" s="54" customFormat="1" ht="15.75" customHeight="1" x14ac:dyDescent="0.25">
      <c r="B888"/>
      <c r="C888"/>
      <c r="D888"/>
      <c r="E888"/>
      <c r="F888"/>
      <c r="G888" s="94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</row>
    <row r="889" spans="2:42" s="54" customFormat="1" ht="15.75" customHeight="1" x14ac:dyDescent="0.25">
      <c r="B889"/>
      <c r="C889"/>
      <c r="D889"/>
      <c r="E889"/>
      <c r="F889"/>
      <c r="G889" s="94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</row>
    <row r="890" spans="2:42" s="54" customFormat="1" ht="15.75" customHeight="1" x14ac:dyDescent="0.25">
      <c r="B890"/>
      <c r="C890"/>
      <c r="D890"/>
      <c r="E890"/>
      <c r="F890"/>
      <c r="G890" s="94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</row>
    <row r="891" spans="2:42" s="54" customFormat="1" ht="15.75" customHeight="1" x14ac:dyDescent="0.25">
      <c r="B891"/>
      <c r="C891"/>
      <c r="D891"/>
      <c r="E891"/>
      <c r="F891"/>
      <c r="G891" s="94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</row>
    <row r="892" spans="2:42" s="54" customFormat="1" ht="15.75" customHeight="1" x14ac:dyDescent="0.25">
      <c r="B892"/>
      <c r="C892"/>
      <c r="D892"/>
      <c r="E892"/>
      <c r="F892"/>
      <c r="G892" s="94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</row>
    <row r="893" spans="2:42" s="54" customFormat="1" ht="15.75" customHeight="1" x14ac:dyDescent="0.25">
      <c r="B893"/>
      <c r="C893"/>
      <c r="D893"/>
      <c r="E893"/>
      <c r="F893"/>
      <c r="G893" s="94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</row>
    <row r="894" spans="2:42" s="54" customFormat="1" ht="15.75" customHeight="1" x14ac:dyDescent="0.25">
      <c r="B894"/>
      <c r="C894"/>
      <c r="D894"/>
      <c r="E894"/>
      <c r="F894"/>
      <c r="G894" s="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</row>
    <row r="895" spans="2:42" s="54" customFormat="1" ht="15.75" customHeight="1" x14ac:dyDescent="0.25">
      <c r="B895"/>
      <c r="C895"/>
      <c r="D895"/>
      <c r="E895"/>
      <c r="F895"/>
      <c r="G895" s="94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</row>
    <row r="896" spans="2:42" s="54" customFormat="1" ht="15.75" customHeight="1" x14ac:dyDescent="0.25">
      <c r="B896"/>
      <c r="C896"/>
      <c r="D896"/>
      <c r="E896"/>
      <c r="F896"/>
      <c r="G896" s="94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</row>
    <row r="897" spans="2:42" s="54" customFormat="1" ht="15.75" customHeight="1" x14ac:dyDescent="0.25">
      <c r="B897"/>
      <c r="C897"/>
      <c r="D897"/>
      <c r="E897"/>
      <c r="F897"/>
      <c r="G897" s="94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</row>
    <row r="898" spans="2:42" s="54" customFormat="1" ht="15.75" customHeight="1" x14ac:dyDescent="0.25">
      <c r="B898"/>
      <c r="C898"/>
      <c r="D898"/>
      <c r="E898"/>
      <c r="F898"/>
      <c r="G898" s="94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</row>
    <row r="899" spans="2:42" s="54" customFormat="1" ht="15.75" customHeight="1" x14ac:dyDescent="0.25">
      <c r="B899"/>
      <c r="C899"/>
      <c r="D899"/>
      <c r="E899"/>
      <c r="F899"/>
      <c r="G899" s="94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</row>
    <row r="900" spans="2:42" s="54" customFormat="1" ht="15.75" customHeight="1" x14ac:dyDescent="0.25">
      <c r="B900"/>
      <c r="C900"/>
      <c r="D900"/>
      <c r="E900"/>
      <c r="F900"/>
      <c r="G900" s="94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</row>
    <row r="901" spans="2:42" s="54" customFormat="1" ht="15.75" customHeight="1" x14ac:dyDescent="0.25">
      <c r="B901"/>
      <c r="C901"/>
      <c r="D901"/>
      <c r="E901"/>
      <c r="F901"/>
      <c r="G901" s="94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</row>
    <row r="902" spans="2:42" s="54" customFormat="1" ht="15.75" customHeight="1" x14ac:dyDescent="0.25">
      <c r="B902"/>
      <c r="C902"/>
      <c r="D902"/>
      <c r="E902"/>
      <c r="F902"/>
      <c r="G902" s="94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</row>
    <row r="903" spans="2:42" s="54" customFormat="1" ht="15.75" customHeight="1" x14ac:dyDescent="0.25">
      <c r="B903"/>
      <c r="C903"/>
      <c r="D903"/>
      <c r="E903"/>
      <c r="F903"/>
      <c r="G903" s="94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</row>
    <row r="904" spans="2:42" s="54" customFormat="1" ht="15.75" customHeight="1" x14ac:dyDescent="0.25">
      <c r="B904"/>
      <c r="C904"/>
      <c r="D904"/>
      <c r="E904"/>
      <c r="F904"/>
      <c r="G904" s="9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</row>
    <row r="905" spans="2:42" s="54" customFormat="1" ht="15.75" customHeight="1" x14ac:dyDescent="0.25">
      <c r="B905"/>
      <c r="C905"/>
      <c r="D905"/>
      <c r="E905"/>
      <c r="F905"/>
      <c r="G905" s="94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</row>
    <row r="906" spans="2:42" s="54" customFormat="1" ht="15.75" customHeight="1" x14ac:dyDescent="0.25">
      <c r="B906"/>
      <c r="C906"/>
      <c r="D906"/>
      <c r="E906"/>
      <c r="F906"/>
      <c r="G906" s="94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</row>
    <row r="907" spans="2:42" s="54" customFormat="1" ht="15.75" customHeight="1" x14ac:dyDescent="0.25">
      <c r="B907"/>
      <c r="C907"/>
      <c r="D907"/>
      <c r="E907"/>
      <c r="F907"/>
      <c r="G907" s="94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</row>
    <row r="908" spans="2:42" s="54" customFormat="1" ht="15.75" customHeight="1" x14ac:dyDescent="0.25">
      <c r="B908"/>
      <c r="C908"/>
      <c r="D908"/>
      <c r="E908"/>
      <c r="F908"/>
      <c r="G908" s="94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</row>
    <row r="909" spans="2:42" s="54" customFormat="1" ht="15.75" customHeight="1" x14ac:dyDescent="0.25">
      <c r="B909"/>
      <c r="C909"/>
      <c r="D909"/>
      <c r="E909"/>
      <c r="F909"/>
      <c r="G909" s="94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</row>
    <row r="910" spans="2:42" s="54" customFormat="1" ht="15.75" customHeight="1" x14ac:dyDescent="0.25">
      <c r="B910"/>
      <c r="C910"/>
      <c r="D910"/>
      <c r="E910"/>
      <c r="F910"/>
      <c r="G910" s="94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</row>
    <row r="911" spans="2:42" s="54" customFormat="1" ht="15.75" customHeight="1" x14ac:dyDescent="0.25">
      <c r="B911"/>
      <c r="C911"/>
      <c r="D911"/>
      <c r="E911"/>
      <c r="F911"/>
      <c r="G911" s="94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</row>
    <row r="912" spans="2:42" s="54" customFormat="1" ht="15.75" customHeight="1" x14ac:dyDescent="0.25">
      <c r="B912"/>
      <c r="C912"/>
      <c r="D912"/>
      <c r="E912"/>
      <c r="F912"/>
      <c r="G912" s="94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</row>
    <row r="913" spans="2:42" s="54" customFormat="1" ht="15.75" customHeight="1" x14ac:dyDescent="0.25">
      <c r="B913"/>
      <c r="C913"/>
      <c r="D913"/>
      <c r="E913"/>
      <c r="F913"/>
      <c r="G913" s="94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</row>
    <row r="914" spans="2:42" s="54" customFormat="1" ht="15.75" customHeight="1" x14ac:dyDescent="0.25">
      <c r="B914"/>
      <c r="C914"/>
      <c r="D914"/>
      <c r="E914"/>
      <c r="F914"/>
      <c r="G914" s="9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</row>
    <row r="915" spans="2:42" s="54" customFormat="1" ht="15.75" customHeight="1" x14ac:dyDescent="0.25">
      <c r="B915"/>
      <c r="C915"/>
      <c r="D915"/>
      <c r="E915"/>
      <c r="F915"/>
      <c r="G915" s="94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</row>
    <row r="916" spans="2:42" s="54" customFormat="1" ht="15.75" customHeight="1" x14ac:dyDescent="0.25">
      <c r="B916"/>
      <c r="C916"/>
      <c r="D916"/>
      <c r="E916"/>
      <c r="F916"/>
      <c r="G916" s="94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</row>
    <row r="917" spans="2:42" s="54" customFormat="1" ht="15.75" customHeight="1" x14ac:dyDescent="0.25">
      <c r="B917"/>
      <c r="C917"/>
      <c r="D917"/>
      <c r="E917"/>
      <c r="F917"/>
      <c r="G917" s="94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</row>
    <row r="918" spans="2:42" s="54" customFormat="1" ht="15.75" customHeight="1" x14ac:dyDescent="0.25">
      <c r="B918"/>
      <c r="C918"/>
      <c r="D918"/>
      <c r="E918"/>
      <c r="F918"/>
      <c r="G918" s="94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</row>
    <row r="919" spans="2:42" s="54" customFormat="1" ht="15.75" customHeight="1" x14ac:dyDescent="0.25">
      <c r="B919"/>
      <c r="C919"/>
      <c r="D919"/>
      <c r="E919"/>
      <c r="F919"/>
      <c r="G919" s="94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</row>
    <row r="920" spans="2:42" s="54" customFormat="1" ht="15.75" customHeight="1" x14ac:dyDescent="0.25">
      <c r="B920"/>
      <c r="C920"/>
      <c r="D920"/>
      <c r="E920"/>
      <c r="F920"/>
      <c r="G920" s="94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</row>
    <row r="921" spans="2:42" s="54" customFormat="1" ht="15.75" customHeight="1" x14ac:dyDescent="0.25">
      <c r="B921"/>
      <c r="C921"/>
      <c r="D921"/>
      <c r="E921"/>
      <c r="F921"/>
      <c r="G921" s="94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</row>
    <row r="922" spans="2:42" s="54" customFormat="1" ht="15.75" customHeight="1" x14ac:dyDescent="0.25">
      <c r="B922"/>
      <c r="C922"/>
      <c r="D922"/>
      <c r="E922"/>
      <c r="F922"/>
      <c r="G922" s="94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</row>
    <row r="923" spans="2:42" s="54" customFormat="1" ht="15.75" customHeight="1" x14ac:dyDescent="0.25">
      <c r="B923"/>
      <c r="C923"/>
      <c r="D923"/>
      <c r="E923"/>
      <c r="F923"/>
      <c r="G923" s="94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</row>
    <row r="924" spans="2:42" s="54" customFormat="1" ht="15.75" customHeight="1" x14ac:dyDescent="0.25">
      <c r="B924"/>
      <c r="C924"/>
      <c r="D924"/>
      <c r="E924"/>
      <c r="F924"/>
      <c r="G924" s="9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</row>
    <row r="925" spans="2:42" s="54" customFormat="1" ht="15.75" customHeight="1" x14ac:dyDescent="0.25">
      <c r="B925"/>
      <c r="C925"/>
      <c r="D925"/>
      <c r="E925"/>
      <c r="F925"/>
      <c r="G925" s="94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</row>
    <row r="926" spans="2:42" s="54" customFormat="1" ht="15.75" customHeight="1" x14ac:dyDescent="0.25">
      <c r="B926"/>
      <c r="C926"/>
      <c r="D926"/>
      <c r="E926"/>
      <c r="F926"/>
      <c r="G926" s="94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</row>
    <row r="927" spans="2:42" s="54" customFormat="1" ht="15.75" customHeight="1" x14ac:dyDescent="0.25">
      <c r="B927"/>
      <c r="C927"/>
      <c r="D927"/>
      <c r="E927"/>
      <c r="F927"/>
      <c r="G927" s="94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</row>
    <row r="928" spans="2:42" s="54" customFormat="1" ht="15.75" customHeight="1" x14ac:dyDescent="0.25">
      <c r="B928"/>
      <c r="C928"/>
      <c r="D928"/>
      <c r="E928"/>
      <c r="F928"/>
      <c r="G928" s="94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</row>
    <row r="929" spans="2:42" s="54" customFormat="1" ht="15.75" customHeight="1" x14ac:dyDescent="0.25">
      <c r="B929"/>
      <c r="C929"/>
      <c r="D929"/>
      <c r="E929"/>
      <c r="F929"/>
      <c r="G929" s="94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</row>
    <row r="930" spans="2:42" s="54" customFormat="1" ht="15.75" customHeight="1" x14ac:dyDescent="0.25">
      <c r="B930"/>
      <c r="C930"/>
      <c r="D930"/>
      <c r="E930"/>
      <c r="F930"/>
      <c r="G930" s="94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</row>
    <row r="931" spans="2:42" s="54" customFormat="1" ht="15.75" customHeight="1" x14ac:dyDescent="0.25">
      <c r="B931"/>
      <c r="C931"/>
      <c r="D931"/>
      <c r="E931"/>
      <c r="F931"/>
      <c r="G931" s="94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</row>
    <row r="932" spans="2:42" s="54" customFormat="1" ht="15.75" customHeight="1" x14ac:dyDescent="0.25">
      <c r="B932"/>
      <c r="C932"/>
      <c r="D932"/>
      <c r="E932"/>
      <c r="F932"/>
      <c r="G932" s="94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</row>
    <row r="933" spans="2:42" s="54" customFormat="1" ht="15.75" customHeight="1" x14ac:dyDescent="0.25">
      <c r="B933"/>
      <c r="C933"/>
      <c r="D933"/>
      <c r="E933"/>
      <c r="F933"/>
      <c r="G933" s="94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</row>
    <row r="934" spans="2:42" s="54" customFormat="1" ht="15.75" customHeight="1" x14ac:dyDescent="0.25">
      <c r="B934"/>
      <c r="C934"/>
      <c r="D934"/>
      <c r="E934"/>
      <c r="F934"/>
      <c r="G934" s="9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</row>
    <row r="935" spans="2:42" s="54" customFormat="1" ht="15.75" customHeight="1" x14ac:dyDescent="0.25">
      <c r="B935"/>
      <c r="C935"/>
      <c r="D935"/>
      <c r="E935"/>
      <c r="F935"/>
      <c r="G935" s="94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</row>
    <row r="936" spans="2:42" s="54" customFormat="1" ht="15.75" customHeight="1" x14ac:dyDescent="0.25">
      <c r="B936"/>
      <c r="C936"/>
      <c r="D936"/>
      <c r="E936"/>
      <c r="F936"/>
      <c r="G936" s="94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</row>
    <row r="937" spans="2:42" s="54" customFormat="1" ht="15.75" customHeight="1" x14ac:dyDescent="0.25">
      <c r="B937"/>
      <c r="C937"/>
      <c r="D937"/>
      <c r="E937"/>
      <c r="F937"/>
      <c r="G937" s="94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</row>
    <row r="938" spans="2:42" s="54" customFormat="1" ht="15.75" customHeight="1" x14ac:dyDescent="0.25">
      <c r="B938"/>
      <c r="C938"/>
      <c r="D938"/>
      <c r="E938"/>
      <c r="F938"/>
      <c r="G938" s="94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</row>
    <row r="939" spans="2:42" s="54" customFormat="1" ht="15.75" customHeight="1" x14ac:dyDescent="0.25">
      <c r="B939"/>
      <c r="C939"/>
      <c r="D939"/>
      <c r="E939"/>
      <c r="F939"/>
      <c r="G939" s="94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</row>
    <row r="940" spans="2:42" s="54" customFormat="1" ht="15.75" customHeight="1" x14ac:dyDescent="0.25">
      <c r="B940"/>
      <c r="C940"/>
      <c r="D940"/>
      <c r="E940"/>
      <c r="F940"/>
      <c r="G940" s="94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</row>
    <row r="941" spans="2:42" s="54" customFormat="1" ht="15.75" customHeight="1" x14ac:dyDescent="0.25">
      <c r="B941"/>
      <c r="C941"/>
      <c r="D941"/>
      <c r="E941"/>
      <c r="F941"/>
      <c r="G941" s="94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</row>
    <row r="942" spans="2:42" s="54" customFormat="1" ht="15.75" customHeight="1" x14ac:dyDescent="0.25">
      <c r="B942"/>
      <c r="C942"/>
      <c r="D942"/>
      <c r="E942"/>
      <c r="F942"/>
      <c r="G942" s="94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</row>
    <row r="943" spans="2:42" s="54" customFormat="1" ht="15.75" customHeight="1" x14ac:dyDescent="0.25">
      <c r="B943"/>
      <c r="C943"/>
      <c r="D943"/>
      <c r="E943"/>
      <c r="F943"/>
      <c r="G943" s="94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</row>
    <row r="944" spans="2:42" s="54" customFormat="1" ht="15.75" customHeight="1" x14ac:dyDescent="0.25">
      <c r="B944"/>
      <c r="C944"/>
      <c r="D944"/>
      <c r="E944"/>
      <c r="F944"/>
      <c r="G944" s="9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</row>
    <row r="945" spans="2:42" s="54" customFormat="1" ht="15.75" customHeight="1" x14ac:dyDescent="0.25">
      <c r="B945"/>
      <c r="C945"/>
      <c r="D945"/>
      <c r="E945"/>
      <c r="F945"/>
      <c r="G945" s="94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</row>
    <row r="946" spans="2:42" s="54" customFormat="1" ht="15.75" customHeight="1" x14ac:dyDescent="0.25">
      <c r="B946"/>
      <c r="C946"/>
      <c r="D946"/>
      <c r="E946"/>
      <c r="F946"/>
      <c r="G946" s="94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</row>
    <row r="947" spans="2:42" s="54" customFormat="1" ht="15.75" customHeight="1" x14ac:dyDescent="0.25">
      <c r="B947"/>
      <c r="C947"/>
      <c r="D947"/>
      <c r="E947"/>
      <c r="F947"/>
      <c r="G947" s="94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</row>
    <row r="948" spans="2:42" s="54" customFormat="1" ht="15.75" customHeight="1" x14ac:dyDescent="0.25">
      <c r="B948"/>
      <c r="C948"/>
      <c r="D948"/>
      <c r="E948"/>
      <c r="F948"/>
      <c r="G948" s="94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</row>
  </sheetData>
  <mergeCells count="28">
    <mergeCell ref="A2:A3"/>
    <mergeCell ref="H35:K35"/>
    <mergeCell ref="H36:K36"/>
    <mergeCell ref="B37:D37"/>
    <mergeCell ref="H37:K37"/>
    <mergeCell ref="B40:D40"/>
    <mergeCell ref="H40:K40"/>
    <mergeCell ref="F1:I1"/>
    <mergeCell ref="B2:C2"/>
    <mergeCell ref="H44:K44"/>
    <mergeCell ref="B42:D42"/>
    <mergeCell ref="B43:D43"/>
    <mergeCell ref="B38:D38"/>
    <mergeCell ref="H38:K38"/>
    <mergeCell ref="B39:D39"/>
    <mergeCell ref="H39:K39"/>
    <mergeCell ref="D2:D3"/>
    <mergeCell ref="T44:Z44"/>
    <mergeCell ref="H45:K45"/>
    <mergeCell ref="T45:Z45"/>
    <mergeCell ref="F2:I2"/>
    <mergeCell ref="H41:K41"/>
    <mergeCell ref="H42:K42"/>
    <mergeCell ref="T42:Z42"/>
    <mergeCell ref="H43:K43"/>
    <mergeCell ref="T43:Z43"/>
    <mergeCell ref="T37:X37"/>
    <mergeCell ref="T39:X39"/>
  </mergeCells>
  <conditionalFormatting sqref="B4">
    <cfRule type="duplicateValues" dxfId="49" priority="24"/>
  </conditionalFormatting>
  <conditionalFormatting sqref="B5">
    <cfRule type="duplicateValues" dxfId="48" priority="23"/>
  </conditionalFormatting>
  <conditionalFormatting sqref="B6">
    <cfRule type="duplicateValues" dxfId="47" priority="22"/>
  </conditionalFormatting>
  <conditionalFormatting sqref="B7">
    <cfRule type="duplicateValues" dxfId="46" priority="21"/>
  </conditionalFormatting>
  <conditionalFormatting sqref="B8">
    <cfRule type="duplicateValues" dxfId="45" priority="20"/>
  </conditionalFormatting>
  <conditionalFormatting sqref="B9">
    <cfRule type="duplicateValues" dxfId="44" priority="19"/>
  </conditionalFormatting>
  <conditionalFormatting sqref="B10">
    <cfRule type="duplicateValues" dxfId="43" priority="18"/>
  </conditionalFormatting>
  <conditionalFormatting sqref="B11">
    <cfRule type="duplicateValues" dxfId="42" priority="17"/>
  </conditionalFormatting>
  <conditionalFormatting sqref="B12">
    <cfRule type="duplicateValues" dxfId="41" priority="16"/>
  </conditionalFormatting>
  <conditionalFormatting sqref="B13:B14">
    <cfRule type="duplicateValues" dxfId="40" priority="15"/>
  </conditionalFormatting>
  <conditionalFormatting sqref="B15">
    <cfRule type="duplicateValues" dxfId="39" priority="14"/>
  </conditionalFormatting>
  <conditionalFormatting sqref="B16">
    <cfRule type="duplicateValues" dxfId="38" priority="13"/>
  </conditionalFormatting>
  <conditionalFormatting sqref="B17:B18">
    <cfRule type="duplicateValues" dxfId="37" priority="12"/>
  </conditionalFormatting>
  <conditionalFormatting sqref="B19">
    <cfRule type="duplicateValues" dxfId="36" priority="11"/>
  </conditionalFormatting>
  <conditionalFormatting sqref="B20">
    <cfRule type="duplicateValues" dxfId="35" priority="10"/>
  </conditionalFormatting>
  <conditionalFormatting sqref="B21">
    <cfRule type="duplicateValues" dxfId="34" priority="9"/>
  </conditionalFormatting>
  <conditionalFormatting sqref="B22:B23">
    <cfRule type="duplicateValues" dxfId="33" priority="8"/>
  </conditionalFormatting>
  <conditionalFormatting sqref="B24:B25">
    <cfRule type="duplicateValues" dxfId="32" priority="7"/>
  </conditionalFormatting>
  <conditionalFormatting sqref="B26">
    <cfRule type="duplicateValues" dxfId="31" priority="6"/>
  </conditionalFormatting>
  <conditionalFormatting sqref="B27">
    <cfRule type="duplicateValues" dxfId="30" priority="5"/>
  </conditionalFormatting>
  <conditionalFormatting sqref="B28:B29">
    <cfRule type="duplicateValues" dxfId="29" priority="4"/>
  </conditionalFormatting>
  <conditionalFormatting sqref="B30">
    <cfRule type="duplicateValues" dxfId="28" priority="3"/>
  </conditionalFormatting>
  <conditionalFormatting sqref="B31">
    <cfRule type="duplicateValues" dxfId="27" priority="2"/>
  </conditionalFormatting>
  <conditionalFormatting sqref="B32">
    <cfRule type="duplicateValues" dxfId="26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989"/>
  <sheetViews>
    <sheetView tabSelected="1" zoomScale="70" zoomScaleNormal="70" workbookViewId="0">
      <selection activeCell="B30" sqref="B30:C30"/>
    </sheetView>
  </sheetViews>
  <sheetFormatPr defaultColWidth="14.5" defaultRowHeight="15.75" x14ac:dyDescent="0.25"/>
  <cols>
    <col min="1" max="1" width="7.75" style="123" customWidth="1"/>
    <col min="2" max="2" width="9.75" customWidth="1"/>
    <col min="3" max="3" width="9.5" customWidth="1"/>
    <col min="4" max="5" width="14.75" customWidth="1"/>
    <col min="6" max="6" width="5.5" customWidth="1"/>
    <col min="7" max="7" width="5.625" customWidth="1"/>
    <col min="8" max="8" width="4.125" customWidth="1"/>
    <col min="9" max="9" width="7" customWidth="1"/>
    <col min="10" max="11" width="8.5" customWidth="1"/>
    <col min="12" max="12" width="4.5" customWidth="1"/>
    <col min="13" max="13" width="0.375" customWidth="1"/>
    <col min="14" max="14" width="1.5" customWidth="1"/>
    <col min="15" max="15" width="2.125" customWidth="1"/>
    <col min="16" max="16" width="2" customWidth="1"/>
    <col min="17" max="17" width="3.75" customWidth="1"/>
    <col min="18" max="18" width="4.125" customWidth="1"/>
    <col min="19" max="19" width="4" customWidth="1"/>
    <col min="20" max="20" width="3.375" customWidth="1"/>
    <col min="21" max="21" width="3.5" customWidth="1"/>
    <col min="22" max="22" width="3.625" customWidth="1"/>
    <col min="23" max="23" width="3.5" customWidth="1"/>
    <col min="24" max="25" width="3.125" customWidth="1"/>
    <col min="26" max="26" width="10.375" customWidth="1"/>
    <col min="27" max="27" width="8.625" customWidth="1"/>
    <col min="28" max="28" width="5" customWidth="1"/>
    <col min="29" max="30" width="4" customWidth="1"/>
    <col min="31" max="31" width="4.125" customWidth="1"/>
  </cols>
  <sheetData>
    <row r="1" spans="1:9" ht="16.5" thickBot="1" x14ac:dyDescent="0.3">
      <c r="A1" s="108"/>
      <c r="C1" s="125"/>
      <c r="D1" s="124" t="s">
        <v>4</v>
      </c>
      <c r="F1" s="267"/>
      <c r="G1" s="267"/>
      <c r="H1" s="267"/>
      <c r="I1" s="267"/>
    </row>
    <row r="2" spans="1:9" ht="15" customHeight="1" thickBot="1" x14ac:dyDescent="0.3">
      <c r="A2" s="274" t="s">
        <v>1</v>
      </c>
      <c r="B2" s="261" t="s">
        <v>52</v>
      </c>
      <c r="C2" s="262"/>
      <c r="D2" s="272" t="s">
        <v>2</v>
      </c>
      <c r="F2" s="268" t="s">
        <v>3</v>
      </c>
      <c r="G2" s="269"/>
      <c r="H2" s="269"/>
      <c r="I2" s="270"/>
    </row>
    <row r="3" spans="1:9" ht="21" customHeight="1" thickBot="1" x14ac:dyDescent="0.3">
      <c r="A3" s="275"/>
      <c r="B3" s="74" t="s">
        <v>53</v>
      </c>
      <c r="C3" s="75" t="s">
        <v>54</v>
      </c>
      <c r="D3" s="273"/>
      <c r="F3" s="110" t="s">
        <v>56</v>
      </c>
      <c r="G3" s="111" t="s">
        <v>49</v>
      </c>
      <c r="H3" s="112" t="s">
        <v>50</v>
      </c>
      <c r="I3" s="113" t="s">
        <v>51</v>
      </c>
    </row>
    <row r="4" spans="1:9" ht="16.5" thickBot="1" x14ac:dyDescent="0.3">
      <c r="A4" s="109" t="s">
        <v>120</v>
      </c>
      <c r="B4" s="128">
        <v>6.2368449999999998</v>
      </c>
      <c r="C4" s="128">
        <v>-75.605986666999996</v>
      </c>
      <c r="D4" s="114" t="s">
        <v>6</v>
      </c>
      <c r="E4" t="e">
        <f>(F4+H4)/(SUM(F4:I4))</f>
        <v>#DIV/0!</v>
      </c>
      <c r="F4" s="27"/>
      <c r="G4" s="28"/>
      <c r="H4" s="27"/>
      <c r="I4" s="28"/>
    </row>
    <row r="5" spans="1:9" ht="16.5" thickBot="1" x14ac:dyDescent="0.3">
      <c r="A5" s="115" t="s">
        <v>121</v>
      </c>
      <c r="B5" s="129">
        <v>6.2346666669999999</v>
      </c>
      <c r="C5" s="129">
        <v>-75.614750000000001</v>
      </c>
      <c r="D5" s="116" t="s">
        <v>6</v>
      </c>
      <c r="E5">
        <f t="shared" ref="E5:E30" si="0">(F5+H5)/(SUM(F5:I5))</f>
        <v>1</v>
      </c>
      <c r="F5" s="27">
        <v>3</v>
      </c>
      <c r="G5" s="28"/>
      <c r="H5" s="27">
        <v>2</v>
      </c>
      <c r="I5" s="28"/>
    </row>
    <row r="6" spans="1:9" ht="16.5" thickBot="1" x14ac:dyDescent="0.3">
      <c r="A6" s="117" t="s">
        <v>122</v>
      </c>
      <c r="B6" s="130">
        <v>6.2355190570000003</v>
      </c>
      <c r="C6" s="130">
        <v>-75.608397311999994</v>
      </c>
      <c r="D6" s="118" t="s">
        <v>6</v>
      </c>
      <c r="E6" t="e">
        <f t="shared" si="0"/>
        <v>#DIV/0!</v>
      </c>
      <c r="F6" s="27"/>
      <c r="G6" s="28"/>
      <c r="H6" s="27"/>
      <c r="I6" s="28"/>
    </row>
    <row r="7" spans="1:9" ht="16.5" thickBot="1" x14ac:dyDescent="0.3">
      <c r="A7" s="115" t="s">
        <v>123</v>
      </c>
      <c r="B7" s="130">
        <v>6.2297116670000001</v>
      </c>
      <c r="C7" s="130">
        <v>-75.612786666999995</v>
      </c>
      <c r="D7" s="116" t="s">
        <v>6</v>
      </c>
      <c r="E7" t="e">
        <f t="shared" si="0"/>
        <v>#DIV/0!</v>
      </c>
      <c r="F7" s="27"/>
      <c r="G7" s="28"/>
      <c r="H7" s="27"/>
      <c r="I7" s="28"/>
    </row>
    <row r="8" spans="1:9" ht="16.5" thickBot="1" x14ac:dyDescent="0.3">
      <c r="A8" s="117" t="s">
        <v>124</v>
      </c>
      <c r="B8" s="131">
        <v>6.2301116910000003</v>
      </c>
      <c r="C8" s="131">
        <v>-75.611598529000005</v>
      </c>
      <c r="D8" s="118" t="s">
        <v>6</v>
      </c>
      <c r="E8" t="e">
        <f t="shared" si="0"/>
        <v>#DIV/0!</v>
      </c>
      <c r="F8" s="27"/>
      <c r="G8" s="28"/>
      <c r="H8" s="27"/>
      <c r="I8" s="28"/>
    </row>
    <row r="9" spans="1:9" ht="16.5" thickBot="1" x14ac:dyDescent="0.3">
      <c r="A9" s="115" t="s">
        <v>125</v>
      </c>
      <c r="B9" s="132">
        <v>6.2373883330000002</v>
      </c>
      <c r="C9" s="132">
        <v>-75.598614999999995</v>
      </c>
      <c r="D9" s="116" t="s">
        <v>6</v>
      </c>
      <c r="E9">
        <f t="shared" si="0"/>
        <v>1</v>
      </c>
      <c r="F9" s="27"/>
      <c r="G9" s="28"/>
      <c r="H9" s="27">
        <v>1</v>
      </c>
      <c r="I9" s="28"/>
    </row>
    <row r="10" spans="1:9" ht="16.5" thickBot="1" x14ac:dyDescent="0.3">
      <c r="A10" s="117" t="s">
        <v>126</v>
      </c>
      <c r="B10" s="133">
        <v>6.2353407460000003</v>
      </c>
      <c r="C10" s="133">
        <v>-75.598144903999994</v>
      </c>
      <c r="D10" s="118" t="s">
        <v>6</v>
      </c>
      <c r="E10">
        <f t="shared" si="0"/>
        <v>1</v>
      </c>
      <c r="F10" s="27">
        <v>1</v>
      </c>
      <c r="G10" s="28"/>
      <c r="H10" s="27"/>
      <c r="I10" s="28"/>
    </row>
    <row r="11" spans="1:9" ht="15.75" customHeight="1" thickBot="1" x14ac:dyDescent="0.3">
      <c r="A11" s="115" t="s">
        <v>127</v>
      </c>
      <c r="B11" s="134">
        <v>6.2318600000000002</v>
      </c>
      <c r="C11" s="134">
        <v>-75.605244999999996</v>
      </c>
      <c r="D11" s="86"/>
      <c r="E11">
        <f t="shared" si="0"/>
        <v>0</v>
      </c>
      <c r="F11" s="27"/>
      <c r="G11" s="28">
        <v>1</v>
      </c>
      <c r="H11" s="27"/>
      <c r="I11" s="28"/>
    </row>
    <row r="12" spans="1:9" ht="16.5" thickBot="1" x14ac:dyDescent="0.3">
      <c r="A12" s="117" t="s">
        <v>128</v>
      </c>
      <c r="B12" s="130">
        <v>6.2247816670000002</v>
      </c>
      <c r="C12" s="130">
        <v>-75.594153332999994</v>
      </c>
      <c r="D12" s="118" t="s">
        <v>6</v>
      </c>
      <c r="E12">
        <f t="shared" si="0"/>
        <v>1</v>
      </c>
      <c r="F12" s="27">
        <v>2</v>
      </c>
      <c r="G12" s="28"/>
      <c r="H12" s="27">
        <v>1</v>
      </c>
      <c r="I12" s="28"/>
    </row>
    <row r="13" spans="1:9" ht="16.5" thickBot="1" x14ac:dyDescent="0.3">
      <c r="A13" s="115" t="s">
        <v>129</v>
      </c>
      <c r="B13" s="133">
        <v>6.2251458900000003</v>
      </c>
      <c r="C13" s="133">
        <v>-75607172213</v>
      </c>
      <c r="D13" s="119" t="s">
        <v>12</v>
      </c>
      <c r="E13" t="e">
        <f t="shared" si="0"/>
        <v>#DIV/0!</v>
      </c>
      <c r="F13" s="27"/>
      <c r="G13" s="28"/>
      <c r="H13" s="27"/>
      <c r="I13" s="28"/>
    </row>
    <row r="14" spans="1:9" x14ac:dyDescent="0.25">
      <c r="A14" s="126" t="s">
        <v>130</v>
      </c>
      <c r="B14" s="130">
        <v>6.226538412</v>
      </c>
      <c r="C14" s="130">
        <v>-75602313392</v>
      </c>
      <c r="D14" s="120" t="s">
        <v>6</v>
      </c>
      <c r="E14" t="e">
        <f t="shared" si="0"/>
        <v>#DIV/0!</v>
      </c>
      <c r="F14" s="27"/>
      <c r="G14" s="28"/>
      <c r="H14" s="27"/>
      <c r="I14" s="28"/>
    </row>
    <row r="15" spans="1:9" ht="16.5" thickBot="1" x14ac:dyDescent="0.3">
      <c r="A15" s="117" t="s">
        <v>131</v>
      </c>
      <c r="B15" s="131">
        <v>6.2244900000000003</v>
      </c>
      <c r="C15" s="131">
        <v>-75.603281667000005</v>
      </c>
      <c r="D15" s="118" t="s">
        <v>6</v>
      </c>
      <c r="E15" t="e">
        <f t="shared" si="0"/>
        <v>#DIV/0!</v>
      </c>
      <c r="F15" s="27"/>
      <c r="G15" s="28"/>
      <c r="H15" s="27"/>
      <c r="I15" s="28"/>
    </row>
    <row r="16" spans="1:9" ht="16.5" thickBot="1" x14ac:dyDescent="0.3">
      <c r="A16" s="115" t="s">
        <v>132</v>
      </c>
      <c r="B16" s="130">
        <v>6.2227266669999999</v>
      </c>
      <c r="C16" s="130">
        <v>-75.599361666999997</v>
      </c>
      <c r="D16" s="116" t="s">
        <v>6</v>
      </c>
      <c r="E16" t="e">
        <f t="shared" si="0"/>
        <v>#DIV/0!</v>
      </c>
      <c r="F16" s="27"/>
      <c r="G16" s="28"/>
      <c r="H16" s="27"/>
      <c r="I16" s="28"/>
    </row>
    <row r="17" spans="1:9" ht="15.75" customHeight="1" thickBot="1" x14ac:dyDescent="0.3">
      <c r="A17" s="117" t="s">
        <v>133</v>
      </c>
      <c r="B17" s="134">
        <v>6.2209283329999998</v>
      </c>
      <c r="C17" s="134">
        <v>-75.603698332999997</v>
      </c>
      <c r="D17" s="89"/>
      <c r="E17">
        <f t="shared" si="0"/>
        <v>0.5</v>
      </c>
      <c r="F17" s="27"/>
      <c r="G17" s="28"/>
      <c r="H17" s="27">
        <v>1</v>
      </c>
      <c r="I17" s="28">
        <v>1</v>
      </c>
    </row>
    <row r="18" spans="1:9" ht="16.5" thickBot="1" x14ac:dyDescent="0.3">
      <c r="A18" s="121" t="s">
        <v>134</v>
      </c>
      <c r="B18" s="133">
        <v>6.224576667</v>
      </c>
      <c r="C18" s="133">
        <v>-75.597215000000006</v>
      </c>
      <c r="D18" s="116" t="s">
        <v>6</v>
      </c>
      <c r="E18" t="e">
        <f t="shared" si="0"/>
        <v>#DIV/0!</v>
      </c>
      <c r="F18" s="27"/>
      <c r="G18" s="28"/>
      <c r="H18" s="27"/>
      <c r="I18" s="28"/>
    </row>
    <row r="19" spans="1:9" ht="16.5" thickBot="1" x14ac:dyDescent="0.3">
      <c r="A19" s="117" t="s">
        <v>135</v>
      </c>
      <c r="B19" s="131">
        <v>6.2353554109999996</v>
      </c>
      <c r="C19" s="131">
        <v>-75594045483</v>
      </c>
      <c r="D19" s="118" t="s">
        <v>6</v>
      </c>
      <c r="E19" t="e">
        <f t="shared" si="0"/>
        <v>#DIV/0!</v>
      </c>
      <c r="F19" s="27"/>
      <c r="G19" s="28"/>
      <c r="H19" s="27"/>
      <c r="I19" s="28"/>
    </row>
    <row r="20" spans="1:9" ht="16.5" thickBot="1" x14ac:dyDescent="0.3">
      <c r="A20" s="115" t="s">
        <v>136</v>
      </c>
      <c r="B20" s="131">
        <v>6.2350700000000003</v>
      </c>
      <c r="C20" s="131">
        <v>-75.589958332999998</v>
      </c>
      <c r="D20" s="116" t="s">
        <v>6</v>
      </c>
      <c r="E20" t="e">
        <f t="shared" si="0"/>
        <v>#DIV/0!</v>
      </c>
      <c r="F20" s="27"/>
      <c r="G20" s="28"/>
      <c r="H20" s="27"/>
      <c r="I20" s="28"/>
    </row>
    <row r="21" spans="1:9" ht="15.75" customHeight="1" thickBot="1" x14ac:dyDescent="0.3">
      <c r="A21" s="117" t="s">
        <v>137</v>
      </c>
      <c r="B21" s="133">
        <v>6.2346633330000003</v>
      </c>
      <c r="C21" s="133">
        <v>-75.587306666999993</v>
      </c>
      <c r="D21" s="118" t="s">
        <v>6</v>
      </c>
      <c r="E21" t="e">
        <f t="shared" si="0"/>
        <v>#DIV/0!</v>
      </c>
      <c r="F21" s="27"/>
      <c r="G21" s="28"/>
      <c r="H21" s="27"/>
      <c r="I21" s="28"/>
    </row>
    <row r="22" spans="1:9" ht="15.75" customHeight="1" thickBot="1" x14ac:dyDescent="0.3">
      <c r="A22" s="115" t="s">
        <v>138</v>
      </c>
      <c r="B22" s="134">
        <v>6.2341805529999998</v>
      </c>
      <c r="C22" s="134">
        <v>-75.584110580000001</v>
      </c>
      <c r="D22" s="116" t="s">
        <v>6</v>
      </c>
      <c r="E22" t="e">
        <f t="shared" si="0"/>
        <v>#DIV/0!</v>
      </c>
      <c r="F22" s="27"/>
      <c r="G22" s="28"/>
      <c r="H22" s="27"/>
      <c r="I22" s="28"/>
    </row>
    <row r="23" spans="1:9" ht="16.5" thickBot="1" x14ac:dyDescent="0.3">
      <c r="A23" s="115" t="s">
        <v>139</v>
      </c>
      <c r="B23" s="135">
        <v>62.20313333</v>
      </c>
      <c r="C23" s="135">
        <v>-75.594075000000004</v>
      </c>
      <c r="D23" s="116" t="s">
        <v>6</v>
      </c>
      <c r="E23">
        <f t="shared" si="0"/>
        <v>1</v>
      </c>
      <c r="F23" s="27">
        <v>1</v>
      </c>
      <c r="G23" s="28"/>
      <c r="H23" s="27"/>
      <c r="I23" s="28"/>
    </row>
    <row r="24" spans="1:9" ht="16.5" thickBot="1" x14ac:dyDescent="0.3">
      <c r="A24" s="117" t="s">
        <v>140</v>
      </c>
      <c r="B24" s="136">
        <v>62.118049999999997</v>
      </c>
      <c r="C24" s="136">
        <v>-75.601338333000001</v>
      </c>
      <c r="D24" s="118" t="s">
        <v>6</v>
      </c>
      <c r="E24" t="e">
        <f t="shared" si="0"/>
        <v>#DIV/0!</v>
      </c>
      <c r="F24" s="27"/>
      <c r="G24" s="28"/>
      <c r="H24" s="27"/>
      <c r="I24" s="28"/>
    </row>
    <row r="25" spans="1:9" x14ac:dyDescent="0.25">
      <c r="A25" s="127" t="s">
        <v>141</v>
      </c>
      <c r="B25" s="100">
        <v>62.110366669999998</v>
      </c>
      <c r="C25" s="100">
        <v>-75.598983333000007</v>
      </c>
      <c r="D25" s="114" t="s">
        <v>6</v>
      </c>
      <c r="E25">
        <f t="shared" si="0"/>
        <v>0.5</v>
      </c>
      <c r="F25" s="27">
        <v>1</v>
      </c>
      <c r="G25" s="28"/>
      <c r="H25" s="27"/>
      <c r="I25" s="28">
        <v>1</v>
      </c>
    </row>
    <row r="26" spans="1:9" ht="16.5" thickBot="1" x14ac:dyDescent="0.3">
      <c r="A26" s="117" t="s">
        <v>142</v>
      </c>
      <c r="B26" s="137">
        <v>62.07128333</v>
      </c>
      <c r="C26" s="137">
        <v>-75.601101666999995</v>
      </c>
      <c r="D26" s="227" t="s">
        <v>6</v>
      </c>
      <c r="E26">
        <f t="shared" si="0"/>
        <v>1</v>
      </c>
      <c r="F26" s="27">
        <v>1</v>
      </c>
      <c r="G26" s="28"/>
      <c r="H26" s="27"/>
      <c r="I26" s="28"/>
    </row>
    <row r="27" spans="1:9" ht="16.5" thickBot="1" x14ac:dyDescent="0.3">
      <c r="A27" s="115" t="s">
        <v>143</v>
      </c>
      <c r="B27" s="143">
        <v>6.2068516669999996</v>
      </c>
      <c r="C27" s="143">
        <v>-75.600809999999996</v>
      </c>
      <c r="D27" s="118" t="s">
        <v>6</v>
      </c>
      <c r="E27">
        <f t="shared" si="0"/>
        <v>0.75</v>
      </c>
      <c r="F27" s="27"/>
      <c r="G27" s="28">
        <v>1</v>
      </c>
      <c r="H27" s="27">
        <v>3</v>
      </c>
      <c r="I27" s="28"/>
    </row>
    <row r="28" spans="1:9" ht="15.75" customHeight="1" thickBot="1" x14ac:dyDescent="0.3">
      <c r="A28" s="117" t="s">
        <v>144</v>
      </c>
      <c r="B28" s="141">
        <v>62.053966670000001</v>
      </c>
      <c r="C28" s="141">
        <v>-75.602816666999999</v>
      </c>
      <c r="D28" s="122" t="s">
        <v>12</v>
      </c>
      <c r="E28">
        <f t="shared" si="0"/>
        <v>0</v>
      </c>
      <c r="F28" s="27"/>
      <c r="G28" s="28"/>
      <c r="H28" s="27"/>
      <c r="I28" s="28">
        <v>3</v>
      </c>
    </row>
    <row r="29" spans="1:9" ht="15.75" customHeight="1" thickBot="1" x14ac:dyDescent="0.3">
      <c r="A29" s="127" t="s">
        <v>145</v>
      </c>
      <c r="B29" s="142">
        <v>6.2026266669999996</v>
      </c>
      <c r="C29" s="142">
        <v>-75.599923333000007</v>
      </c>
      <c r="D29" s="114" t="s">
        <v>6</v>
      </c>
      <c r="E29" t="e">
        <f t="shared" si="0"/>
        <v>#DIV/0!</v>
      </c>
      <c r="F29" s="27"/>
      <c r="G29" s="28"/>
      <c r="H29" s="27"/>
      <c r="I29" s="28"/>
    </row>
    <row r="30" spans="1:9" ht="15.75" customHeight="1" thickBot="1" x14ac:dyDescent="0.3">
      <c r="A30" s="115" t="s">
        <v>146</v>
      </c>
      <c r="B30" s="130">
        <v>6.2368666670000001</v>
      </c>
      <c r="C30" s="130">
        <v>-75.594683333000006</v>
      </c>
      <c r="D30" s="86"/>
      <c r="E30">
        <f t="shared" si="0"/>
        <v>1</v>
      </c>
      <c r="F30" s="3">
        <v>1</v>
      </c>
      <c r="G30" s="5"/>
      <c r="H30" s="3"/>
      <c r="I30" s="5"/>
    </row>
    <row r="31" spans="1:9" ht="15.75" customHeight="1" x14ac:dyDescent="0.25"/>
    <row r="32" spans="1:9" ht="15.75" customHeight="1" x14ac:dyDescent="0.25"/>
    <row r="33" spans="3:32" ht="15.75" customHeight="1" x14ac:dyDescent="0.25"/>
    <row r="34" spans="3:32" ht="15.75" customHeight="1" x14ac:dyDescent="0.25"/>
    <row r="35" spans="3:32" ht="15.75" customHeight="1" x14ac:dyDescent="0.25">
      <c r="I35" s="234" t="s">
        <v>89</v>
      </c>
      <c r="J35" s="234"/>
      <c r="K35" s="234"/>
      <c r="L35" s="234"/>
      <c r="M35" s="234"/>
      <c r="N35" s="234"/>
      <c r="O35" s="234"/>
      <c r="P35" s="234"/>
      <c r="Q35" s="234"/>
      <c r="R35">
        <v>28</v>
      </c>
    </row>
    <row r="36" spans="3:32" ht="15.75" customHeight="1" x14ac:dyDescent="0.25">
      <c r="C36" s="234" t="s">
        <v>23</v>
      </c>
      <c r="D36" s="234"/>
      <c r="E36" s="13"/>
      <c r="I36" s="234" t="s">
        <v>24</v>
      </c>
      <c r="J36" s="234"/>
      <c r="K36" s="234"/>
      <c r="L36" s="234"/>
      <c r="M36" s="234"/>
      <c r="N36" s="234"/>
      <c r="O36" s="234"/>
      <c r="P36" s="234"/>
      <c r="Q36" s="234"/>
      <c r="R36">
        <v>14</v>
      </c>
    </row>
    <row r="37" spans="3:32" ht="15.75" customHeight="1" x14ac:dyDescent="0.25">
      <c r="C37" s="234" t="s">
        <v>25</v>
      </c>
      <c r="D37" s="234"/>
      <c r="E37" s="13"/>
      <c r="I37" s="234" t="s">
        <v>26</v>
      </c>
      <c r="J37" s="234"/>
      <c r="K37" s="234"/>
      <c r="L37" s="234"/>
      <c r="M37" s="234"/>
      <c r="N37" s="234"/>
      <c r="O37" s="234"/>
      <c r="P37" s="234"/>
      <c r="Q37" s="234"/>
      <c r="R37">
        <v>12</v>
      </c>
      <c r="Z37" s="234" t="s">
        <v>147</v>
      </c>
      <c r="AA37" s="234"/>
      <c r="AB37" s="234"/>
      <c r="AC37">
        <v>12</v>
      </c>
    </row>
    <row r="38" spans="3:32" ht="15.75" customHeight="1" x14ac:dyDescent="0.25">
      <c r="C38" s="234" t="s">
        <v>27</v>
      </c>
      <c r="D38" s="234"/>
      <c r="E38" s="13"/>
      <c r="I38" s="234" t="s">
        <v>28</v>
      </c>
      <c r="J38" s="234"/>
      <c r="K38" s="234"/>
      <c r="L38" s="234"/>
      <c r="M38" s="234"/>
      <c r="N38" s="234"/>
      <c r="O38" s="234"/>
      <c r="P38" s="234"/>
      <c r="Q38" s="234"/>
      <c r="R38">
        <v>4</v>
      </c>
      <c r="Z38" s="234" t="s">
        <v>148</v>
      </c>
      <c r="AA38" s="234"/>
      <c r="AB38" s="234"/>
      <c r="AC38">
        <v>4</v>
      </c>
    </row>
    <row r="39" spans="3:32" ht="15.75" customHeight="1" x14ac:dyDescent="0.25">
      <c r="C39" s="234" t="s">
        <v>29</v>
      </c>
      <c r="D39" s="234"/>
      <c r="E39" s="13"/>
      <c r="I39" s="234" t="s">
        <v>31</v>
      </c>
      <c r="J39" s="234"/>
      <c r="K39" s="234"/>
      <c r="L39" s="234"/>
      <c r="M39" s="234"/>
      <c r="N39" s="234"/>
      <c r="O39" s="234"/>
      <c r="P39" s="234"/>
      <c r="Q39" s="234"/>
      <c r="R39">
        <v>16</v>
      </c>
      <c r="Z39" s="234" t="s">
        <v>31</v>
      </c>
      <c r="AA39" s="234"/>
      <c r="AB39" s="234"/>
      <c r="AC39">
        <v>14</v>
      </c>
    </row>
    <row r="40" spans="3:32" ht="15.75" customHeight="1" x14ac:dyDescent="0.25">
      <c r="C40" s="13" t="s">
        <v>119</v>
      </c>
      <c r="D40" s="13"/>
      <c r="E40" s="13"/>
      <c r="I40" s="234" t="s">
        <v>32</v>
      </c>
      <c r="J40" s="234"/>
      <c r="K40" s="234"/>
      <c r="L40" s="234"/>
      <c r="M40" s="234"/>
      <c r="N40" s="234"/>
      <c r="O40" s="234"/>
      <c r="P40" s="234"/>
      <c r="Q40" s="234"/>
      <c r="R40">
        <v>9</v>
      </c>
      <c r="Z40" t="s">
        <v>33</v>
      </c>
      <c r="AC40">
        <v>10</v>
      </c>
      <c r="AE40" s="13"/>
      <c r="AF40" s="13"/>
    </row>
    <row r="41" spans="3:32" ht="15.75" customHeight="1" x14ac:dyDescent="0.25">
      <c r="I41" s="234" t="s">
        <v>34</v>
      </c>
      <c r="J41" s="234"/>
      <c r="K41" s="234"/>
      <c r="L41" s="234"/>
      <c r="M41" s="234"/>
      <c r="N41" s="234"/>
      <c r="O41" s="234"/>
      <c r="P41" s="234"/>
      <c r="Q41" s="234"/>
      <c r="R41">
        <v>4</v>
      </c>
      <c r="Z41" t="s">
        <v>35</v>
      </c>
      <c r="AC41">
        <v>2</v>
      </c>
      <c r="AE41" s="13"/>
      <c r="AF41" s="13"/>
    </row>
    <row r="42" spans="3:32" ht="15.75" customHeight="1" x14ac:dyDescent="0.25">
      <c r="C42" s="234" t="s">
        <v>36</v>
      </c>
      <c r="D42" s="234"/>
      <c r="E42" s="13"/>
      <c r="I42" s="234" t="s">
        <v>37</v>
      </c>
      <c r="J42" s="234"/>
      <c r="K42" s="234"/>
      <c r="L42" s="234"/>
      <c r="M42" s="234"/>
      <c r="N42" s="234"/>
      <c r="O42" s="234"/>
      <c r="P42" s="234"/>
      <c r="Q42" s="234"/>
      <c r="R42">
        <v>8</v>
      </c>
      <c r="Z42" t="s">
        <v>38</v>
      </c>
      <c r="AC42">
        <v>8</v>
      </c>
    </row>
    <row r="43" spans="3:32" ht="15.75" customHeight="1" x14ac:dyDescent="0.25">
      <c r="C43" s="234" t="s">
        <v>39</v>
      </c>
      <c r="D43" s="234"/>
      <c r="E43" s="13"/>
      <c r="I43" s="234" t="s">
        <v>40</v>
      </c>
      <c r="J43" s="234"/>
      <c r="K43" s="234"/>
      <c r="L43" s="234"/>
      <c r="M43" s="234"/>
      <c r="N43" s="234"/>
      <c r="O43" s="234"/>
      <c r="P43" s="234"/>
      <c r="Q43" s="234"/>
      <c r="R43">
        <v>5</v>
      </c>
      <c r="Z43" s="271" t="s">
        <v>41</v>
      </c>
      <c r="AA43" s="271"/>
      <c r="AB43" s="271"/>
      <c r="AC43">
        <v>5</v>
      </c>
    </row>
    <row r="44" spans="3:32" ht="15.75" customHeight="1" x14ac:dyDescent="0.25">
      <c r="I44" s="234" t="s">
        <v>42</v>
      </c>
      <c r="J44" s="234"/>
      <c r="K44" s="234"/>
      <c r="L44" s="234"/>
      <c r="M44" s="234"/>
      <c r="N44" s="234"/>
      <c r="O44" s="234"/>
      <c r="P44" s="234"/>
      <c r="Q44" s="234"/>
      <c r="R44">
        <v>2</v>
      </c>
      <c r="Z44" s="271" t="s">
        <v>43</v>
      </c>
      <c r="AA44" s="271"/>
      <c r="AB44" s="271"/>
      <c r="AC44">
        <v>4</v>
      </c>
    </row>
    <row r="45" spans="3:32" ht="15.75" customHeight="1" x14ac:dyDescent="0.25">
      <c r="I45" s="234" t="s">
        <v>44</v>
      </c>
      <c r="J45" s="234"/>
      <c r="K45" s="234"/>
      <c r="L45" s="234"/>
      <c r="M45" s="234"/>
      <c r="N45" s="234"/>
      <c r="O45" s="234"/>
      <c r="P45" s="234"/>
      <c r="Q45" s="234"/>
      <c r="R45">
        <v>2</v>
      </c>
      <c r="Z45" s="271" t="s">
        <v>45</v>
      </c>
      <c r="AA45" s="271"/>
      <c r="AB45" s="271"/>
      <c r="AC45">
        <v>0</v>
      </c>
    </row>
    <row r="46" spans="3:32" ht="15.75" customHeight="1" x14ac:dyDescent="0.25"/>
    <row r="47" spans="3:32" ht="15.75" customHeight="1" x14ac:dyDescent="0.25"/>
    <row r="48" spans="3:32" ht="15.75" customHeight="1" x14ac:dyDescent="0.25"/>
    <row r="49" spans="2:32" ht="15.75" customHeight="1" x14ac:dyDescent="0.25"/>
    <row r="50" spans="2:32" ht="15.75" customHeight="1" x14ac:dyDescent="0.25"/>
    <row r="51" spans="2:32" ht="15.75" customHeight="1" x14ac:dyDescent="0.25"/>
    <row r="52" spans="2:32" ht="15.75" customHeight="1" x14ac:dyDescent="0.25"/>
    <row r="53" spans="2:32" ht="15.75" customHeight="1" x14ac:dyDescent="0.25"/>
    <row r="54" spans="2:32" ht="15.75" customHeight="1" x14ac:dyDescent="0.25"/>
    <row r="55" spans="2:32" ht="15.75" customHeight="1" x14ac:dyDescent="0.25"/>
    <row r="56" spans="2:32" ht="15.75" customHeight="1" x14ac:dyDescent="0.25"/>
    <row r="57" spans="2:32" ht="15.75" customHeight="1" x14ac:dyDescent="0.25"/>
    <row r="58" spans="2:32" s="123" customFormat="1" ht="15.75" customHeight="1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2:32" s="123" customFormat="1" ht="15.75" customHeight="1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2:32" s="123" customFormat="1" ht="15.75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2:32" s="123" customFormat="1" ht="15.75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2:32" s="123" customFormat="1" ht="15.75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2:32" s="123" customFormat="1" ht="15.75" customHeight="1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2:32" s="123" customFormat="1" ht="15.75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2:32" s="123" customFormat="1" ht="15.75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2:32" s="123" customFormat="1" ht="15.75" customHeight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2:32" s="123" customFormat="1" ht="15.75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2:32" s="123" customFormat="1" ht="15.75" customHeight="1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2:32" s="123" customFormat="1" ht="15.75" customHeight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2:32" s="123" customFormat="1" ht="15.75" customHeight="1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2:32" s="123" customFormat="1" ht="15.75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2:32" s="123" customFormat="1" ht="15.75" customHeight="1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2:32" s="123" customFormat="1" ht="15.75" customHeight="1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2:32" s="123" customFormat="1" ht="15.75" customHeight="1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2:32" s="123" customFormat="1" ht="15.75" customHeight="1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2:32" s="123" customFormat="1" ht="15.75" customHeight="1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2:32" s="123" customFormat="1" ht="15.75" customHeight="1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2:32" s="123" customFormat="1" ht="15.75" customHeight="1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2:32" s="123" customFormat="1" ht="15.75" customHeight="1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2:32" s="123" customFormat="1" ht="15.75" customHeight="1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2:32" s="123" customFormat="1" ht="15.75" customHeight="1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2:32" s="123" customFormat="1" ht="15.75" customHeight="1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2:32" s="123" customFormat="1" ht="15.75" customHeight="1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2:32" s="123" customFormat="1" ht="15.75" customHeight="1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2:32" s="123" customFormat="1" ht="15.75" customHeight="1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2:32" s="123" customFormat="1" ht="15.75" customHeight="1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2:32" s="123" customFormat="1" ht="15.75" customHeight="1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2:32" s="123" customFormat="1" ht="15.75" customHeight="1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2:32" s="123" customFormat="1" ht="15.75" customHeight="1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2:32" s="123" customFormat="1" ht="15.75" customHeight="1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2:32" s="123" customFormat="1" ht="15.75" customHeight="1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2:32" s="123" customFormat="1" ht="15.75" customHeight="1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2:32" s="123" customFormat="1" ht="15.75" customHeight="1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2:32" s="123" customFormat="1" ht="15.75" customHeight="1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2:32" s="123" customFormat="1" ht="15.75" customHeight="1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2:32" s="123" customFormat="1" ht="15.75" customHeight="1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2:32" s="123" customFormat="1" ht="15.75" customHeight="1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2:32" s="123" customFormat="1" ht="15.75" customHeight="1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2:32" s="123" customFormat="1" ht="15.75" customHeight="1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2:32" s="123" customFormat="1" ht="15.75" customHeight="1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2:32" s="123" customFormat="1" ht="15.75" customHeight="1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2:32" s="123" customFormat="1" ht="15.75" customHeight="1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2:32" s="123" customFormat="1" ht="15.75" customHeight="1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2:32" s="123" customFormat="1" ht="15.75" customHeight="1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2:32" s="123" customFormat="1" ht="15.75" customHeight="1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2:32" s="123" customFormat="1" ht="15.75" customHeight="1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2:32" s="123" customFormat="1" ht="15.75" customHeight="1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2:32" s="123" customFormat="1" ht="15.75" customHeight="1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2:32" s="123" customFormat="1" ht="15.75" customHeight="1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2:32" s="123" customFormat="1" ht="15.75" customHeight="1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2:32" s="123" customFormat="1" ht="15.75" customHeight="1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2:32" s="123" customFormat="1" ht="15.75" customHeight="1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2:32" s="123" customFormat="1" ht="15.75" customHeight="1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2:32" s="123" customFormat="1" ht="15.75" customHeight="1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2:32" s="123" customFormat="1" ht="15.75" customHeight="1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2:32" s="123" customFormat="1" ht="15.75" customHeight="1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2:32" s="123" customFormat="1" ht="15.75" customHeight="1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2:32" s="123" customFormat="1" ht="15.75" customHeight="1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2:32" s="123" customFormat="1" ht="15.75" customHeight="1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2:32" s="123" customFormat="1" ht="15.75" customHeight="1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2:32" s="123" customFormat="1" ht="15.75" customHeight="1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2:32" s="123" customFormat="1" ht="15.75" customHeight="1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2:32" s="123" customFormat="1" ht="15.75" customHeight="1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2:32" s="123" customFormat="1" ht="15.75" customHeight="1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2:32" s="123" customFormat="1" ht="15.75" customHeight="1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2:32" s="123" customFormat="1" ht="15.75" customHeight="1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2:32" s="123" customFormat="1" ht="15.75" customHeight="1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2:32" s="123" customFormat="1" ht="15.75" customHeight="1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2:32" s="123" customFormat="1" ht="15.75" customHeight="1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2:32" s="123" customFormat="1" ht="15.75" customHeight="1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2:32" s="123" customFormat="1" ht="15.75" customHeight="1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2:32" s="123" customFormat="1" ht="15.75" customHeight="1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2:32" s="123" customFormat="1" ht="15.75" customHeight="1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2:32" s="123" customFormat="1" ht="15.75" customHeight="1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2:32" s="123" customFormat="1" ht="15.75" customHeight="1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2:32" s="123" customFormat="1" ht="15.75" customHeight="1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2:32" s="123" customFormat="1" ht="15.75" customHeight="1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2:32" s="123" customFormat="1" ht="15.75" customHeight="1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2:32" s="123" customFormat="1" ht="15.75" customHeight="1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2:32" s="123" customFormat="1" ht="15.75" customHeight="1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2:32" s="123" customFormat="1" ht="15.75" customHeight="1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2:32" s="123" customFormat="1" ht="15.75" customHeight="1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2:32" s="123" customFormat="1" ht="15.75" customHeight="1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2:32" s="123" customFormat="1" ht="15.75" customHeight="1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2:32" s="123" customFormat="1" ht="15.75" customHeight="1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2:32" s="123" customFormat="1" ht="15.75" customHeight="1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2:32" s="123" customFormat="1" ht="15.75" customHeight="1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2:32" s="123" customFormat="1" ht="15.75" customHeight="1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2:32" s="123" customFormat="1" ht="15.75" customHeight="1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2:32" s="123" customFormat="1" ht="15.75" customHeight="1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2:32" s="123" customFormat="1" ht="15.75" customHeight="1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2:32" s="123" customFormat="1" ht="15.75" customHeight="1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2:32" s="123" customFormat="1" ht="15.75" customHeight="1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2:32" s="123" customFormat="1" ht="15.75" customHeight="1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2:32" s="123" customFormat="1" ht="15.75" customHeight="1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2:32" s="123" customFormat="1" ht="15.75" customHeight="1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2:32" s="123" customFormat="1" ht="15.75" customHeight="1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2:32" s="123" customFormat="1" ht="15.75" customHeight="1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2:32" s="123" customFormat="1" ht="15.75" customHeight="1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2:32" s="123" customFormat="1" ht="15.75" customHeight="1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2:32" s="123" customFormat="1" ht="15.75" customHeight="1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2:32" s="123" customFormat="1" ht="15.75" customHeight="1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2:32" s="123" customFormat="1" ht="15.75" customHeight="1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2:32" s="123" customFormat="1" ht="15.75" customHeight="1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2:32" s="123" customFormat="1" ht="15.75" customHeight="1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2:32" s="123" customFormat="1" ht="15.75" customHeight="1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2:32" s="123" customFormat="1" ht="15.75" customHeight="1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2:32" s="123" customFormat="1" ht="15.75" customHeight="1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2:32" s="123" customFormat="1" ht="15.75" customHeight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2:32" s="123" customFormat="1" ht="15.75" customHeight="1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2:32" s="123" customFormat="1" ht="15.75" customHeight="1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2:32" s="123" customFormat="1" ht="15.75" customHeight="1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2:32" s="123" customFormat="1" ht="15.75" customHeight="1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2:32" s="123" customFormat="1" ht="15.75" customHeight="1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2:32" s="123" customFormat="1" ht="15.75" customHeight="1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2:32" s="123" customFormat="1" ht="15.75" customHeight="1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2:32" s="123" customFormat="1" ht="15.75" customHeight="1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2:32" s="123" customFormat="1" ht="15.75" customHeight="1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2:32" s="123" customFormat="1" ht="15.75" customHeight="1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2:32" s="123" customFormat="1" ht="15.75" customHeight="1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2:32" s="123" customFormat="1" ht="15.75" customHeight="1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2:32" s="123" customFormat="1" ht="15.75" customHeight="1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2:32" s="123" customFormat="1" ht="15.75" customHeight="1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2:32" s="123" customFormat="1" ht="15.75" customHeight="1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2:32" s="123" customFormat="1" ht="15.75" customHeight="1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2:32" s="123" customFormat="1" ht="15.75" customHeight="1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2:32" s="123" customFormat="1" ht="15.75" customHeight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2:32" s="123" customFormat="1" ht="15.75" customHeight="1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2:32" s="123" customFormat="1" ht="15.75" customHeight="1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2:32" s="123" customFormat="1" ht="15.75" customHeight="1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2:32" s="123" customFormat="1" ht="15.75" customHeight="1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2:32" s="123" customFormat="1" ht="15.75" customHeight="1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2:32" s="123" customFormat="1" ht="15.75" customHeight="1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2:32" s="123" customFormat="1" ht="15.75" customHeight="1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2:32" s="123" customFormat="1" ht="15.75" customHeight="1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2:32" s="123" customFormat="1" ht="15.75" customHeight="1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2:32" s="123" customFormat="1" ht="15.75" customHeight="1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2:32" s="123" customFormat="1" ht="15.75" customHeight="1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2:32" s="123" customFormat="1" ht="15.75" customHeight="1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2:32" s="123" customFormat="1" ht="15.75" customHeight="1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2:32" s="123" customFormat="1" ht="15.75" customHeight="1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2:32" s="123" customFormat="1" ht="15.75" customHeight="1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2:32" s="123" customFormat="1" ht="15.75" customHeight="1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2:32" s="123" customFormat="1" ht="15.75" customHeight="1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2:32" s="123" customFormat="1" ht="15.75" customHeight="1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2:32" s="123" customFormat="1" ht="15.75" customHeight="1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2:32" s="123" customFormat="1" ht="15.75" customHeight="1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2:32" s="123" customFormat="1" ht="15.75" customHeight="1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2:32" s="123" customFormat="1" ht="15.75" customHeight="1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2:32" s="123" customFormat="1" ht="15.75" customHeight="1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2:32" s="123" customFormat="1" ht="15.75" customHeight="1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2:32" s="123" customFormat="1" ht="15.75" customHeight="1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2:32" s="123" customFormat="1" ht="15.75" customHeight="1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2:32" s="123" customFormat="1" ht="15.75" customHeight="1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2:32" s="123" customFormat="1" ht="15.75" customHeight="1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2:32" s="123" customFormat="1" ht="15.75" customHeight="1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2:32" s="123" customFormat="1" ht="15.75" customHeight="1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2:32" s="123" customFormat="1" ht="15.75" customHeight="1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2:32" s="123" customFormat="1" ht="15.75" customHeight="1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2:32" s="123" customFormat="1" ht="15.75" customHeight="1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2:32" s="123" customFormat="1" ht="15.75" customHeight="1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2:32" s="123" customFormat="1" ht="15.75" customHeight="1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2:32" s="123" customFormat="1" ht="15.75" customHeight="1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2:32" s="123" customFormat="1" ht="15.75" customHeight="1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2:32" s="123" customFormat="1" ht="15.75" customHeight="1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2:32" s="123" customFormat="1" ht="15.75" customHeight="1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2:32" s="123" customFormat="1" ht="15.75" customHeight="1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2:32" s="123" customFormat="1" ht="15.75" customHeight="1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2:32" s="123" customFormat="1" ht="15.75" customHeight="1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2:32" s="123" customFormat="1" ht="15.75" customHeight="1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2:32" s="123" customFormat="1" ht="15.75" customHeight="1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2:32" s="123" customFormat="1" ht="15.75" customHeight="1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2:32" s="123" customFormat="1" ht="15.75" customHeight="1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2:32" s="123" customFormat="1" ht="15.75" customHeight="1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2:32" s="123" customFormat="1" ht="15.75" customHeight="1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2:32" s="123" customFormat="1" ht="15.75" customHeight="1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2:32" s="123" customFormat="1" ht="15.75" customHeight="1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2:32" s="123" customFormat="1" ht="15.75" customHeight="1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2:32" s="123" customFormat="1" ht="15.75" customHeight="1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2:32" s="123" customFormat="1" ht="15.75" customHeight="1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2:32" s="123" customFormat="1" ht="15.75" customHeight="1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2:32" s="123" customFormat="1" ht="15.75" customHeight="1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2:32" s="123" customFormat="1" ht="15.75" customHeight="1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2:32" s="123" customFormat="1" ht="15.75" customHeight="1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2:32" s="123" customFormat="1" ht="15.75" customHeight="1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2:32" s="123" customFormat="1" ht="15.75" customHeight="1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2:32" s="123" customFormat="1" ht="15.75" customHeight="1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2:32" s="123" customFormat="1" ht="15.75" customHeight="1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2:32" s="123" customFormat="1" ht="15.75" customHeight="1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2:32" s="123" customFormat="1" ht="15.75" customHeight="1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2:32" s="123" customFormat="1" ht="15.75" customHeight="1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2:32" s="123" customFormat="1" ht="15.75" customHeight="1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2:32" s="123" customFormat="1" ht="15.75" customHeight="1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2:32" s="123" customFormat="1" ht="15.75" customHeight="1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2:32" s="123" customFormat="1" ht="15.75" customHeight="1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2:32" s="123" customFormat="1" ht="15.75" customHeight="1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2:32" s="123" customFormat="1" ht="15.75" customHeight="1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2:32" s="123" customFormat="1" ht="15.75" customHeight="1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2:32" s="123" customFormat="1" ht="15.75" customHeight="1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2:32" s="123" customFormat="1" ht="15.75" customHeight="1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2:32" s="123" customFormat="1" ht="15.75" customHeight="1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2:32" s="123" customFormat="1" ht="15.75" customHeight="1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2:32" s="123" customFormat="1" ht="15.75" customHeight="1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2:32" s="123" customFormat="1" ht="15.75" customHeight="1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2:32" s="123" customFormat="1" ht="15.75" customHeight="1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2:32" s="123" customFormat="1" ht="15.75" customHeight="1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2:32" s="123" customFormat="1" ht="15.75" customHeight="1" x14ac:dyDescent="0.2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2:32" s="123" customFormat="1" ht="15.75" customHeight="1" x14ac:dyDescent="0.2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2:32" s="123" customFormat="1" ht="15.75" customHeight="1" x14ac:dyDescent="0.2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2:32" s="123" customFormat="1" ht="15.75" customHeight="1" x14ac:dyDescent="0.2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2:32" s="123" customFormat="1" ht="15.75" customHeight="1" x14ac:dyDescent="0.2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2:32" s="123" customFormat="1" ht="15.75" customHeight="1" x14ac:dyDescent="0.2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2:32" s="123" customFormat="1" ht="15.75" customHeight="1" x14ac:dyDescent="0.2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2:32" s="123" customFormat="1" ht="15.75" customHeight="1" x14ac:dyDescent="0.2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2:32" s="123" customFormat="1" ht="15.75" customHeight="1" x14ac:dyDescent="0.2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2:32" s="123" customFormat="1" ht="15.75" customHeight="1" x14ac:dyDescent="0.2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2:32" s="123" customFormat="1" ht="15.75" customHeight="1" x14ac:dyDescent="0.2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2:32" s="123" customFormat="1" ht="15.75" customHeight="1" x14ac:dyDescent="0.2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2:32" s="123" customFormat="1" ht="15.75" customHeight="1" x14ac:dyDescent="0.2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2:32" s="123" customFormat="1" ht="15.75" customHeight="1" x14ac:dyDescent="0.2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2:32" s="123" customFormat="1" ht="15.75" customHeight="1" x14ac:dyDescent="0.2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2:32" s="123" customFormat="1" ht="15.75" customHeight="1" x14ac:dyDescent="0.2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2:32" s="123" customFormat="1" ht="15.75" customHeight="1" x14ac:dyDescent="0.2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2:32" s="123" customFormat="1" ht="15.75" customHeight="1" x14ac:dyDescent="0.2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2:32" s="123" customFormat="1" ht="15.75" customHeight="1" x14ac:dyDescent="0.2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2:32" s="123" customFormat="1" ht="15.75" customHeight="1" x14ac:dyDescent="0.2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2:32" s="123" customFormat="1" ht="15.75" customHeight="1" x14ac:dyDescent="0.2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2:32" s="123" customFormat="1" ht="15.75" customHeight="1" x14ac:dyDescent="0.2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2:32" s="123" customFormat="1" ht="15.75" customHeight="1" x14ac:dyDescent="0.2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2:32" s="123" customFormat="1" ht="15.75" customHeight="1" x14ac:dyDescent="0.2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2:32" s="123" customFormat="1" ht="15.75" customHeight="1" x14ac:dyDescent="0.2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2:32" s="123" customFormat="1" ht="15.75" customHeight="1" x14ac:dyDescent="0.2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2:32" s="123" customFormat="1" ht="15.75" customHeight="1" x14ac:dyDescent="0.2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2:32" s="123" customFormat="1" ht="15.75" customHeight="1" x14ac:dyDescent="0.2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2:32" s="123" customFormat="1" ht="15.75" customHeight="1" x14ac:dyDescent="0.2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2:32" s="123" customFormat="1" ht="15.75" customHeight="1" x14ac:dyDescent="0.2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2:32" s="123" customFormat="1" ht="15.75" customHeight="1" x14ac:dyDescent="0.2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2:32" s="123" customFormat="1" ht="15.75" customHeight="1" x14ac:dyDescent="0.2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2:32" s="123" customFormat="1" ht="15.75" customHeight="1" x14ac:dyDescent="0.2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2:32" s="123" customFormat="1" ht="15.75" customHeight="1" x14ac:dyDescent="0.2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2:32" s="123" customFormat="1" ht="15.75" customHeight="1" x14ac:dyDescent="0.2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2:32" s="123" customFormat="1" ht="15.75" customHeight="1" x14ac:dyDescent="0.2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2:32" s="123" customFormat="1" ht="15.75" customHeight="1" x14ac:dyDescent="0.2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2:32" s="123" customFormat="1" ht="15.75" customHeight="1" x14ac:dyDescent="0.2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2:32" s="123" customFormat="1" ht="15.75" customHeight="1" x14ac:dyDescent="0.2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2:32" s="123" customFormat="1" ht="15.75" customHeight="1" x14ac:dyDescent="0.2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2:32" s="123" customFormat="1" ht="15.75" customHeight="1" x14ac:dyDescent="0.2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2:32" s="123" customFormat="1" ht="15.75" customHeight="1" x14ac:dyDescent="0.2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2:32" s="123" customFormat="1" ht="15.75" customHeight="1" x14ac:dyDescent="0.2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2:32" s="123" customFormat="1" ht="15.75" customHeight="1" x14ac:dyDescent="0.2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2:32" s="123" customFormat="1" ht="15.75" customHeight="1" x14ac:dyDescent="0.2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2:32" s="123" customFormat="1" ht="15.75" customHeight="1" x14ac:dyDescent="0.2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2:32" s="123" customFormat="1" ht="15.75" customHeight="1" x14ac:dyDescent="0.2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2:32" s="123" customFormat="1" ht="15.75" customHeight="1" x14ac:dyDescent="0.2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2:32" s="123" customFormat="1" ht="15.75" customHeight="1" x14ac:dyDescent="0.2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2:32" s="123" customFormat="1" ht="15.75" customHeight="1" x14ac:dyDescent="0.2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2:32" s="123" customFormat="1" ht="15.75" customHeight="1" x14ac:dyDescent="0.2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2:32" s="123" customFormat="1" ht="15.75" customHeight="1" x14ac:dyDescent="0.2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2:32" s="123" customFormat="1" ht="15.75" customHeight="1" x14ac:dyDescent="0.2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2:32" s="123" customFormat="1" ht="15.75" customHeight="1" x14ac:dyDescent="0.2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2:32" s="123" customFormat="1" ht="15.75" customHeight="1" x14ac:dyDescent="0.2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2:32" s="123" customFormat="1" ht="15.75" customHeight="1" x14ac:dyDescent="0.2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2:32" s="123" customFormat="1" ht="15.75" customHeight="1" x14ac:dyDescent="0.2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2:32" s="123" customFormat="1" ht="15.75" customHeight="1" x14ac:dyDescent="0.2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2:32" s="123" customFormat="1" ht="15.75" customHeight="1" x14ac:dyDescent="0.2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2:32" s="123" customFormat="1" ht="15.75" customHeight="1" x14ac:dyDescent="0.2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2:32" s="123" customFormat="1" ht="15.75" customHeight="1" x14ac:dyDescent="0.2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2:32" s="123" customFormat="1" ht="15.75" customHeight="1" x14ac:dyDescent="0.2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2:32" s="123" customFormat="1" ht="15.75" customHeight="1" x14ac:dyDescent="0.2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2:32" s="123" customFormat="1" ht="15.75" customHeight="1" x14ac:dyDescent="0.2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2:32" s="123" customFormat="1" ht="15.75" customHeight="1" x14ac:dyDescent="0.2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2:32" s="123" customFormat="1" ht="15.75" customHeight="1" x14ac:dyDescent="0.2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2:32" s="123" customFormat="1" ht="15.75" customHeight="1" x14ac:dyDescent="0.2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2:32" s="123" customFormat="1" ht="15.75" customHeight="1" x14ac:dyDescent="0.2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2:32" s="123" customFormat="1" ht="15.75" customHeight="1" x14ac:dyDescent="0.2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2:32" s="123" customFormat="1" ht="15.75" customHeight="1" x14ac:dyDescent="0.2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2:32" s="123" customFormat="1" ht="15.75" customHeight="1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2:32" s="123" customFormat="1" ht="15.75" customHeight="1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2:32" s="123" customFormat="1" ht="15.75" customHeight="1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2:32" s="123" customFormat="1" ht="15.75" customHeight="1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2:32" s="123" customFormat="1" ht="15.75" customHeight="1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2:32" s="123" customFormat="1" ht="15.75" customHeight="1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2:32" s="123" customFormat="1" ht="15.75" customHeight="1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2:32" s="123" customFormat="1" ht="15.75" customHeight="1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2:32" s="123" customFormat="1" ht="15.75" customHeight="1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2:32" s="123" customFormat="1" ht="15.75" customHeight="1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2:32" s="123" customFormat="1" ht="15.75" customHeight="1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2:32" s="123" customFormat="1" ht="15.75" customHeight="1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2:32" s="123" customFormat="1" ht="15.75" customHeight="1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2:32" s="123" customFormat="1" ht="15.75" customHeight="1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2:32" s="123" customFormat="1" ht="15.75" customHeight="1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2:32" s="123" customFormat="1" ht="15.75" customHeight="1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2:32" s="123" customFormat="1" ht="15.75" customHeight="1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2:32" s="123" customFormat="1" ht="15.75" customHeight="1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2:32" s="123" customFormat="1" ht="15.75" customHeight="1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2:32" s="123" customFormat="1" ht="15.75" customHeight="1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2:32" s="123" customFormat="1" ht="15.75" customHeight="1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2:32" s="123" customFormat="1" ht="15.75" customHeight="1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2:32" s="123" customFormat="1" ht="15.75" customHeight="1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2:32" s="123" customFormat="1" ht="15.75" customHeight="1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2:32" s="123" customFormat="1" ht="15.75" customHeight="1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2:32" s="123" customFormat="1" ht="15.75" customHeight="1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2:32" s="123" customFormat="1" ht="15.75" customHeight="1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2:32" s="123" customFormat="1" ht="15.75" customHeight="1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2:32" s="123" customFormat="1" ht="15.75" customHeight="1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2:32" s="123" customFormat="1" ht="15.75" customHeight="1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2:32" s="123" customFormat="1" ht="15.75" customHeight="1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2:32" s="123" customFormat="1" ht="15.75" customHeight="1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2:32" s="123" customFormat="1" ht="15.75" customHeight="1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2:32" s="123" customFormat="1" ht="15.75" customHeight="1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2:32" s="123" customFormat="1" ht="15.75" customHeight="1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2:32" s="123" customFormat="1" ht="15.75" customHeight="1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2:32" s="123" customFormat="1" ht="15.75" customHeight="1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2:32" s="123" customFormat="1" ht="15.75" customHeight="1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2:32" s="123" customFormat="1" ht="15.75" customHeight="1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2:32" s="123" customFormat="1" ht="15.75" customHeight="1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2:32" s="123" customFormat="1" ht="15.75" customHeight="1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2:32" s="123" customFormat="1" ht="15.75" customHeight="1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2:32" s="123" customFormat="1" ht="15.75" customHeight="1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2:32" s="123" customFormat="1" ht="15.75" customHeight="1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2:32" s="123" customFormat="1" ht="15.75" customHeight="1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2:32" s="123" customFormat="1" ht="15.75" customHeight="1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2:32" s="123" customFormat="1" ht="15.75" customHeight="1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2:32" s="123" customFormat="1" ht="15.75" customHeight="1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2:32" s="123" customFormat="1" ht="15.75" customHeight="1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2:32" s="123" customFormat="1" ht="15.75" customHeight="1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2:32" s="123" customFormat="1" ht="15.75" customHeight="1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2:32" s="123" customFormat="1" ht="15.75" customHeight="1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2:32" s="123" customFormat="1" ht="15.75" customHeight="1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2:32" s="123" customFormat="1" ht="15.75" customHeight="1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2:32" s="123" customFormat="1" ht="15.75" customHeight="1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2:32" s="123" customFormat="1" ht="15.75" customHeight="1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2:32" s="123" customFormat="1" ht="15.75" customHeight="1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2:32" s="123" customFormat="1" ht="15.75" customHeight="1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2:32" s="123" customFormat="1" ht="15.75" customHeight="1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2:32" s="123" customFormat="1" ht="15.75" customHeight="1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2:32" s="123" customFormat="1" ht="15.75" customHeight="1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2:32" s="123" customFormat="1" ht="15.75" customHeight="1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2:32" s="123" customFormat="1" ht="15.75" customHeight="1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2:32" s="123" customFormat="1" ht="15.75" customHeight="1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2:32" s="123" customFormat="1" ht="15.75" customHeight="1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2:32" s="123" customFormat="1" ht="15.75" customHeight="1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2:32" s="123" customFormat="1" ht="15.75" customHeight="1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2:32" s="123" customFormat="1" ht="15.75" customHeight="1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2:32" s="123" customFormat="1" ht="15.75" customHeight="1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2:32" s="123" customFormat="1" ht="15.75" customHeight="1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2:32" s="123" customFormat="1" ht="15.75" customHeight="1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2:32" s="123" customFormat="1" ht="15.75" customHeight="1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2:32" s="123" customFormat="1" ht="15.75" customHeight="1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2:32" s="123" customFormat="1" ht="15.75" customHeight="1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2:32" s="123" customFormat="1" ht="15.75" customHeight="1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2:32" s="123" customFormat="1" ht="15.75" customHeight="1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2:32" s="123" customFormat="1" ht="15.75" customHeight="1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2:32" s="123" customFormat="1" ht="15.75" customHeight="1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2:32" s="123" customFormat="1" ht="15.75" customHeight="1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2:32" s="123" customFormat="1" ht="15.75" customHeight="1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2:32" s="123" customFormat="1" ht="15.75" customHeight="1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2:32" s="123" customFormat="1" ht="15.75" customHeight="1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2:32" s="123" customFormat="1" ht="15.75" customHeight="1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2:32" s="123" customFormat="1" ht="15.75" customHeight="1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2:32" s="123" customFormat="1" ht="15.75" customHeight="1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2:32" s="123" customFormat="1" ht="15.75" customHeight="1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2:32" s="123" customFormat="1" ht="15.75" customHeight="1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2:32" s="123" customFormat="1" ht="15.75" customHeight="1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2:32" s="123" customFormat="1" ht="15.75" customHeight="1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2:32" s="123" customFormat="1" ht="15.75" customHeight="1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2:32" s="123" customFormat="1" ht="15.75" customHeight="1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2:32" s="123" customFormat="1" ht="15.75" customHeight="1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2:32" s="123" customFormat="1" ht="15.75" customHeight="1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2:32" s="123" customFormat="1" ht="15.75" customHeight="1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2:32" s="123" customFormat="1" ht="15.75" customHeight="1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2:32" s="123" customFormat="1" ht="15.75" customHeight="1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2:32" s="123" customFormat="1" ht="15.75" customHeight="1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2:32" s="123" customFormat="1" ht="15.75" customHeight="1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2:32" s="123" customFormat="1" ht="15.75" customHeight="1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2:32" s="123" customFormat="1" ht="15.75" customHeight="1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2:32" s="123" customFormat="1" ht="15.75" customHeight="1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2:32" s="123" customFormat="1" ht="15.75" customHeight="1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2:32" s="123" customFormat="1" ht="15.75" customHeight="1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2:32" s="123" customFormat="1" ht="15.75" customHeight="1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2:32" s="123" customFormat="1" ht="15.75" customHeight="1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2:32" s="123" customFormat="1" ht="15.75" customHeight="1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2:32" s="123" customFormat="1" ht="15.75" customHeight="1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2:32" s="123" customFormat="1" ht="15.75" customHeight="1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2:32" s="123" customFormat="1" ht="15.75" customHeight="1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2:32" s="123" customFormat="1" ht="15.75" customHeight="1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2:32" s="123" customFormat="1" ht="15.75" customHeight="1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2:32" s="123" customFormat="1" ht="15.75" customHeight="1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2:32" s="123" customFormat="1" ht="15.75" customHeight="1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2:32" s="123" customFormat="1" ht="15.75" customHeight="1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2:32" s="123" customFormat="1" ht="15.75" customHeight="1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2:32" s="123" customFormat="1" ht="15.75" customHeight="1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2:32" s="123" customFormat="1" ht="15.75" customHeight="1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2:32" s="123" customFormat="1" ht="15.75" customHeight="1" x14ac:dyDescent="0.2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2:32" s="123" customFormat="1" ht="15.75" customHeight="1" x14ac:dyDescent="0.2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2:32" s="123" customFormat="1" ht="15.75" customHeight="1" x14ac:dyDescent="0.2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2:32" s="123" customFormat="1" ht="15.75" customHeight="1" x14ac:dyDescent="0.2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2:32" s="123" customFormat="1" ht="15.75" customHeight="1" x14ac:dyDescent="0.2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2:32" s="123" customFormat="1" ht="15.75" customHeight="1" x14ac:dyDescent="0.2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2:32" s="123" customFormat="1" ht="15.75" customHeight="1" x14ac:dyDescent="0.2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2:32" s="123" customFormat="1" ht="15.75" customHeight="1" x14ac:dyDescent="0.2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2:32" s="123" customFormat="1" ht="15.75" customHeight="1" x14ac:dyDescent="0.2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2:32" s="123" customFormat="1" ht="15.75" customHeight="1" x14ac:dyDescent="0.2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2:32" s="123" customFormat="1" ht="15.75" customHeight="1" x14ac:dyDescent="0.2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2:32" s="123" customFormat="1" ht="15.75" customHeight="1" x14ac:dyDescent="0.2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2:32" s="123" customFormat="1" ht="15.75" customHeight="1" x14ac:dyDescent="0.2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2:32" s="123" customFormat="1" ht="15.75" customHeight="1" x14ac:dyDescent="0.2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2:32" s="123" customFormat="1" ht="15.75" customHeight="1" x14ac:dyDescent="0.2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2:32" s="123" customFormat="1" ht="15.75" customHeight="1" x14ac:dyDescent="0.2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2:32" s="123" customFormat="1" ht="15.75" customHeight="1" x14ac:dyDescent="0.2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2:32" s="123" customFormat="1" ht="15.75" customHeight="1" x14ac:dyDescent="0.2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2:32" s="123" customFormat="1" ht="15.75" customHeight="1" x14ac:dyDescent="0.2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2:32" s="123" customFormat="1" ht="15.75" customHeight="1" x14ac:dyDescent="0.2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2:32" s="123" customFormat="1" ht="15.75" customHeight="1" x14ac:dyDescent="0.2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2:32" s="123" customFormat="1" ht="15.75" customHeight="1" x14ac:dyDescent="0.2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2:32" s="123" customFormat="1" ht="15.75" customHeight="1" x14ac:dyDescent="0.2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2:32" s="123" customFormat="1" ht="15.75" customHeight="1" x14ac:dyDescent="0.2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2:32" s="123" customFormat="1" ht="15.75" customHeight="1" x14ac:dyDescent="0.2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2:32" s="123" customFormat="1" ht="15.75" customHeight="1" x14ac:dyDescent="0.2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2:32" s="123" customFormat="1" ht="15.75" customHeight="1" x14ac:dyDescent="0.2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2:32" s="123" customFormat="1" ht="15.75" customHeight="1" x14ac:dyDescent="0.2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2:32" s="123" customFormat="1" ht="15.75" customHeight="1" x14ac:dyDescent="0.2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2:32" s="123" customFormat="1" ht="15.75" customHeight="1" x14ac:dyDescent="0.2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2:32" s="123" customFormat="1" ht="15.75" customHeight="1" x14ac:dyDescent="0.2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2:32" s="123" customFormat="1" ht="15.75" customHeight="1" x14ac:dyDescent="0.2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2:32" s="123" customFormat="1" ht="15.75" customHeight="1" x14ac:dyDescent="0.2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2:32" s="123" customFormat="1" ht="15.75" customHeight="1" x14ac:dyDescent="0.2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2:32" s="123" customFormat="1" ht="15.75" customHeight="1" x14ac:dyDescent="0.2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2:32" s="123" customFormat="1" ht="15.75" customHeight="1" x14ac:dyDescent="0.2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2:32" s="123" customFormat="1" ht="15.75" customHeight="1" x14ac:dyDescent="0.2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2:32" s="123" customFormat="1" ht="15.75" customHeight="1" x14ac:dyDescent="0.2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2:32" s="123" customFormat="1" ht="15.75" customHeight="1" x14ac:dyDescent="0.2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2:32" s="123" customFormat="1" ht="15.75" customHeight="1" x14ac:dyDescent="0.2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2:32" s="123" customFormat="1" ht="15.75" customHeight="1" x14ac:dyDescent="0.2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2:32" s="123" customFormat="1" ht="15.75" customHeight="1" x14ac:dyDescent="0.2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2:32" s="123" customFormat="1" ht="15.75" customHeight="1" x14ac:dyDescent="0.2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2:32" s="123" customFormat="1" ht="15.75" customHeight="1" x14ac:dyDescent="0.2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2:32" s="123" customFormat="1" ht="15.75" customHeight="1" x14ac:dyDescent="0.2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2:32" s="123" customFormat="1" ht="15.75" customHeight="1" x14ac:dyDescent="0.2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2:32" s="123" customFormat="1" ht="15.75" customHeight="1" x14ac:dyDescent="0.2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2:32" s="123" customFormat="1" ht="15.75" customHeight="1" x14ac:dyDescent="0.2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2:32" s="123" customFormat="1" ht="15.75" customHeight="1" x14ac:dyDescent="0.2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2:32" s="123" customFormat="1" ht="15.75" customHeight="1" x14ac:dyDescent="0.2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2:32" s="123" customFormat="1" ht="15.75" customHeight="1" x14ac:dyDescent="0.2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2:32" s="123" customFormat="1" ht="15.75" customHeight="1" x14ac:dyDescent="0.2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2:32" s="123" customFormat="1" ht="15.75" customHeight="1" x14ac:dyDescent="0.2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2:32" s="123" customFormat="1" ht="15.75" customHeight="1" x14ac:dyDescent="0.2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2:32" s="123" customFormat="1" ht="15.75" customHeight="1" x14ac:dyDescent="0.2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2:32" s="123" customFormat="1" ht="15.75" customHeight="1" x14ac:dyDescent="0.2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2:32" s="123" customFormat="1" ht="15.75" customHeight="1" x14ac:dyDescent="0.2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2:32" s="123" customFormat="1" ht="15.75" customHeight="1" x14ac:dyDescent="0.2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2:32" s="123" customFormat="1" ht="15.75" customHeight="1" x14ac:dyDescent="0.2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2:32" s="123" customFormat="1" ht="15.75" customHeight="1" x14ac:dyDescent="0.2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2:32" s="123" customFormat="1" ht="15.75" customHeight="1" x14ac:dyDescent="0.2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2:32" s="123" customFormat="1" ht="15.75" customHeight="1" x14ac:dyDescent="0.2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2:32" s="123" customFormat="1" ht="15.75" customHeight="1" x14ac:dyDescent="0.2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2:32" s="123" customFormat="1" ht="15.75" customHeight="1" x14ac:dyDescent="0.2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2:32" s="123" customFormat="1" ht="15.75" customHeight="1" x14ac:dyDescent="0.2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2:32" s="123" customFormat="1" ht="15.75" customHeight="1" x14ac:dyDescent="0.2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2:32" s="123" customFormat="1" ht="15.75" customHeight="1" x14ac:dyDescent="0.2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2:32" s="123" customFormat="1" ht="15.75" customHeight="1" x14ac:dyDescent="0.2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2:32" s="123" customFormat="1" ht="15.75" customHeight="1" x14ac:dyDescent="0.2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2:32" s="123" customFormat="1" ht="15.75" customHeight="1" x14ac:dyDescent="0.2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2:32" s="123" customFormat="1" ht="15.75" customHeight="1" x14ac:dyDescent="0.2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2:32" s="123" customFormat="1" ht="15.75" customHeight="1" x14ac:dyDescent="0.2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2:32" s="123" customFormat="1" ht="15.75" customHeight="1" x14ac:dyDescent="0.2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2:32" s="123" customFormat="1" ht="15.75" customHeight="1" x14ac:dyDescent="0.2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2:32" s="123" customFormat="1" ht="15.75" customHeight="1" x14ac:dyDescent="0.2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2:32" s="123" customFormat="1" ht="15.75" customHeight="1" x14ac:dyDescent="0.2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2:32" s="123" customFormat="1" ht="15.75" customHeight="1" x14ac:dyDescent="0.2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2:32" s="123" customFormat="1" ht="15.75" customHeight="1" x14ac:dyDescent="0.2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2:32" s="123" customFormat="1" ht="15.75" customHeight="1" x14ac:dyDescent="0.2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2:32" s="123" customFormat="1" ht="15.75" customHeight="1" x14ac:dyDescent="0.2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2:32" s="123" customFormat="1" ht="15.75" customHeight="1" x14ac:dyDescent="0.2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2:32" s="123" customFormat="1" ht="15.75" customHeight="1" x14ac:dyDescent="0.2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2:32" s="123" customFormat="1" ht="15.75" customHeight="1" x14ac:dyDescent="0.2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2:32" s="123" customFormat="1" ht="15.75" customHeight="1" x14ac:dyDescent="0.2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2:32" s="123" customFormat="1" ht="15.75" customHeight="1" x14ac:dyDescent="0.2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2:32" s="123" customFormat="1" ht="15.75" customHeight="1" x14ac:dyDescent="0.2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2:32" s="123" customFormat="1" ht="15.75" customHeight="1" x14ac:dyDescent="0.2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2:32" s="123" customFormat="1" ht="15.75" customHeight="1" x14ac:dyDescent="0.2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2:32" s="123" customFormat="1" ht="15.75" customHeight="1" x14ac:dyDescent="0.2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2:32" s="123" customFormat="1" ht="15.75" customHeight="1" x14ac:dyDescent="0.2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2:32" s="123" customFormat="1" ht="15.75" customHeight="1" x14ac:dyDescent="0.2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2:32" s="123" customFormat="1" ht="15.75" customHeight="1" x14ac:dyDescent="0.2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2:32" s="123" customFormat="1" ht="15.75" customHeight="1" x14ac:dyDescent="0.2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2:32" s="123" customFormat="1" ht="15.75" customHeight="1" x14ac:dyDescent="0.2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2:32" s="123" customFormat="1" ht="15.75" customHeight="1" x14ac:dyDescent="0.2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2:32" s="123" customFormat="1" ht="15.75" customHeight="1" x14ac:dyDescent="0.2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2:32" s="123" customFormat="1" ht="15.75" customHeight="1" x14ac:dyDescent="0.2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2:32" s="123" customFormat="1" ht="15.75" customHeight="1" x14ac:dyDescent="0.2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2:32" s="123" customFormat="1" ht="15.75" customHeight="1" x14ac:dyDescent="0.2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2:32" s="123" customFormat="1" ht="15.75" customHeight="1" x14ac:dyDescent="0.2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2:32" s="123" customFormat="1" ht="15.75" customHeight="1" x14ac:dyDescent="0.2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2:32" s="123" customFormat="1" ht="15.75" customHeight="1" x14ac:dyDescent="0.2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2:32" s="123" customFormat="1" ht="15.75" customHeight="1" x14ac:dyDescent="0.2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2:32" s="123" customFormat="1" ht="15.75" customHeight="1" x14ac:dyDescent="0.2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2:32" s="123" customFormat="1" ht="15.75" customHeight="1" x14ac:dyDescent="0.2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2:32" s="123" customFormat="1" ht="15.75" customHeight="1" x14ac:dyDescent="0.2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2:32" s="123" customFormat="1" ht="15.75" customHeight="1" x14ac:dyDescent="0.2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2:32" s="123" customFormat="1" ht="15.75" customHeight="1" x14ac:dyDescent="0.2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2:32" s="123" customFormat="1" ht="15.75" customHeight="1" x14ac:dyDescent="0.2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2:32" s="123" customFormat="1" ht="15.75" customHeight="1" x14ac:dyDescent="0.2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2:32" s="123" customFormat="1" ht="15.75" customHeight="1" x14ac:dyDescent="0.2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2:32" s="123" customFormat="1" ht="15.75" customHeight="1" x14ac:dyDescent="0.2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2:32" s="123" customFormat="1" ht="15.75" customHeight="1" x14ac:dyDescent="0.2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2:32" s="123" customFormat="1" ht="15.75" customHeight="1" x14ac:dyDescent="0.2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2:32" s="123" customFormat="1" ht="15.75" customHeight="1" x14ac:dyDescent="0.2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2:32" s="123" customFormat="1" ht="15.75" customHeight="1" x14ac:dyDescent="0.2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2:32" s="123" customFormat="1" ht="15.75" customHeight="1" x14ac:dyDescent="0.2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2:32" s="123" customFormat="1" ht="15.75" customHeight="1" x14ac:dyDescent="0.2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2:32" s="123" customFormat="1" ht="15.75" customHeight="1" x14ac:dyDescent="0.2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2:32" s="123" customFormat="1" ht="15.75" customHeight="1" x14ac:dyDescent="0.2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2:32" s="123" customFormat="1" ht="15.75" customHeight="1" x14ac:dyDescent="0.2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2:32" s="123" customFormat="1" ht="15.75" customHeight="1" x14ac:dyDescent="0.2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2:32" s="123" customFormat="1" ht="15.75" customHeight="1" x14ac:dyDescent="0.2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2:32" s="123" customFormat="1" ht="15.75" customHeight="1" x14ac:dyDescent="0.2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2:32" s="123" customFormat="1" ht="15.75" customHeight="1" x14ac:dyDescent="0.2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2:32" s="123" customFormat="1" ht="15.75" customHeight="1" x14ac:dyDescent="0.2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2:32" s="123" customFormat="1" ht="15.75" customHeight="1" x14ac:dyDescent="0.2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2:32" s="123" customFormat="1" ht="15.75" customHeight="1" x14ac:dyDescent="0.2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2:32" s="123" customFormat="1" ht="15.75" customHeight="1" x14ac:dyDescent="0.2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2:32" s="123" customFormat="1" ht="15.75" customHeight="1" x14ac:dyDescent="0.2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2:32" s="123" customFormat="1" ht="15.75" customHeight="1" x14ac:dyDescent="0.2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2:32" s="123" customFormat="1" ht="15.75" customHeight="1" x14ac:dyDescent="0.2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2:32" s="123" customFormat="1" ht="15.75" customHeight="1" x14ac:dyDescent="0.2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2:32" s="123" customFormat="1" ht="15.75" customHeight="1" x14ac:dyDescent="0.2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2:32" s="123" customFormat="1" ht="15.75" customHeight="1" x14ac:dyDescent="0.2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2:32" s="123" customFormat="1" ht="15.75" customHeight="1" x14ac:dyDescent="0.2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2:32" s="123" customFormat="1" ht="15.75" customHeight="1" x14ac:dyDescent="0.2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2:32" s="123" customFormat="1" ht="15.75" customHeight="1" x14ac:dyDescent="0.2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2:32" s="123" customFormat="1" ht="15.75" customHeight="1" x14ac:dyDescent="0.2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2:32" s="123" customFormat="1" ht="15.75" customHeight="1" x14ac:dyDescent="0.2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2:32" s="123" customFormat="1" ht="15.75" customHeight="1" x14ac:dyDescent="0.2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2:32" s="123" customFormat="1" ht="15.75" customHeight="1" x14ac:dyDescent="0.2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2:32" s="123" customFormat="1" ht="15.75" customHeight="1" x14ac:dyDescent="0.2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2:32" s="123" customFormat="1" ht="15.75" customHeight="1" x14ac:dyDescent="0.2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2:32" s="123" customFormat="1" ht="15.75" customHeight="1" x14ac:dyDescent="0.2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2:32" s="123" customFormat="1" ht="15.75" customHeight="1" x14ac:dyDescent="0.2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2:32" s="123" customFormat="1" ht="15.75" customHeight="1" x14ac:dyDescent="0.2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2:32" s="123" customFormat="1" ht="15.75" customHeight="1" x14ac:dyDescent="0.2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2:32" s="123" customFormat="1" ht="15.75" customHeight="1" x14ac:dyDescent="0.2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2:32" s="123" customFormat="1" ht="15.75" customHeight="1" x14ac:dyDescent="0.2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2:32" s="123" customFormat="1" ht="15.75" customHeight="1" x14ac:dyDescent="0.2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2:32" s="123" customFormat="1" ht="15.75" customHeight="1" x14ac:dyDescent="0.2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2:32" s="123" customFormat="1" ht="15.75" customHeight="1" x14ac:dyDescent="0.2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2:32" s="123" customFormat="1" ht="15.75" customHeight="1" x14ac:dyDescent="0.2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2:32" s="123" customFormat="1" ht="15.75" customHeight="1" x14ac:dyDescent="0.2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2:32" s="123" customFormat="1" ht="15.75" customHeight="1" x14ac:dyDescent="0.2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2:32" s="123" customFormat="1" ht="15.75" customHeight="1" x14ac:dyDescent="0.2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2:32" s="123" customFormat="1" ht="15.75" customHeight="1" x14ac:dyDescent="0.2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2:32" s="123" customFormat="1" ht="15.75" customHeight="1" x14ac:dyDescent="0.2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2:32" s="123" customFormat="1" ht="15.75" customHeight="1" x14ac:dyDescent="0.2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2:32" s="123" customFormat="1" ht="15.75" customHeight="1" x14ac:dyDescent="0.2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2:32" s="123" customFormat="1" ht="15.75" customHeight="1" x14ac:dyDescent="0.2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2:32" s="123" customFormat="1" ht="15.75" customHeight="1" x14ac:dyDescent="0.2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2:32" s="123" customFormat="1" ht="15.75" customHeight="1" x14ac:dyDescent="0.2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2:32" s="123" customFormat="1" ht="15.75" customHeight="1" x14ac:dyDescent="0.2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2:32" s="123" customFormat="1" ht="15.75" customHeight="1" x14ac:dyDescent="0.2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2:32" s="123" customFormat="1" ht="15.75" customHeight="1" x14ac:dyDescent="0.2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2:32" s="123" customFormat="1" ht="15.75" customHeight="1" x14ac:dyDescent="0.2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2:32" s="123" customFormat="1" ht="15.75" customHeight="1" x14ac:dyDescent="0.2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2:32" s="123" customFormat="1" ht="15.75" customHeight="1" x14ac:dyDescent="0.2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2:32" s="123" customFormat="1" ht="15.75" customHeight="1" x14ac:dyDescent="0.2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2:32" s="123" customFormat="1" ht="15.75" customHeight="1" x14ac:dyDescent="0.2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2:32" s="123" customFormat="1" ht="15.75" customHeight="1" x14ac:dyDescent="0.2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2:32" s="123" customFormat="1" ht="15.75" customHeight="1" x14ac:dyDescent="0.2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2:32" s="123" customFormat="1" ht="15.75" customHeight="1" x14ac:dyDescent="0.2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2:32" s="123" customFormat="1" ht="15.75" customHeight="1" x14ac:dyDescent="0.2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2:32" s="123" customFormat="1" ht="15.75" customHeight="1" x14ac:dyDescent="0.2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2:32" s="123" customFormat="1" ht="15.75" customHeight="1" x14ac:dyDescent="0.2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2:32" s="123" customFormat="1" ht="15.75" customHeight="1" x14ac:dyDescent="0.2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2:32" s="123" customFormat="1" ht="15.75" customHeight="1" x14ac:dyDescent="0.2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2:32" s="123" customFormat="1" ht="15.75" customHeight="1" x14ac:dyDescent="0.2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2:32" s="123" customFormat="1" ht="15.75" customHeight="1" x14ac:dyDescent="0.2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2:32" s="123" customFormat="1" ht="15.75" customHeight="1" x14ac:dyDescent="0.2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2:32" s="123" customFormat="1" ht="15.75" customHeight="1" x14ac:dyDescent="0.2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2:32" s="123" customFormat="1" ht="15.75" customHeight="1" x14ac:dyDescent="0.2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2:32" s="123" customFormat="1" ht="15.75" customHeight="1" x14ac:dyDescent="0.2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2:32" s="123" customFormat="1" ht="15.75" customHeight="1" x14ac:dyDescent="0.2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2:32" s="123" customFormat="1" ht="15.75" customHeight="1" x14ac:dyDescent="0.2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2:32" s="123" customFormat="1" ht="15.75" customHeight="1" x14ac:dyDescent="0.2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2:32" s="123" customFormat="1" ht="15.75" customHeight="1" x14ac:dyDescent="0.2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2:32" s="123" customFormat="1" ht="15.75" customHeight="1" x14ac:dyDescent="0.2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2:32" s="123" customFormat="1" ht="15.75" customHeight="1" x14ac:dyDescent="0.2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2:32" s="123" customFormat="1" ht="15.75" customHeight="1" x14ac:dyDescent="0.2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2:32" s="123" customFormat="1" ht="15.75" customHeight="1" x14ac:dyDescent="0.2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2:32" s="123" customFormat="1" ht="15.75" customHeight="1" x14ac:dyDescent="0.2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2:32" s="123" customFormat="1" ht="15.75" customHeight="1" x14ac:dyDescent="0.2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2:32" s="123" customFormat="1" ht="15.75" customHeight="1" x14ac:dyDescent="0.2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2:32" s="123" customFormat="1" ht="15.75" customHeight="1" x14ac:dyDescent="0.2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2:32" s="123" customFormat="1" ht="15.75" customHeight="1" x14ac:dyDescent="0.2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2:32" s="123" customFormat="1" ht="15.75" customHeight="1" x14ac:dyDescent="0.2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2:32" s="123" customFormat="1" ht="15.75" customHeight="1" x14ac:dyDescent="0.2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2:32" s="123" customFormat="1" ht="15.75" customHeight="1" x14ac:dyDescent="0.2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2:32" s="123" customFormat="1" ht="15.75" customHeight="1" x14ac:dyDescent="0.2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2:32" s="123" customFormat="1" ht="15.75" customHeight="1" x14ac:dyDescent="0.2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2:32" s="123" customFormat="1" ht="15.75" customHeight="1" x14ac:dyDescent="0.2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2:32" s="123" customFormat="1" ht="15.75" customHeight="1" x14ac:dyDescent="0.2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2:32" s="123" customFormat="1" ht="15.75" customHeight="1" x14ac:dyDescent="0.2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2:32" s="123" customFormat="1" ht="15.75" customHeight="1" x14ac:dyDescent="0.2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2:32" s="123" customFormat="1" ht="15.75" customHeight="1" x14ac:dyDescent="0.2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2:32" s="123" customFormat="1" ht="15.75" customHeight="1" x14ac:dyDescent="0.2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2:32" s="123" customFormat="1" ht="15.75" customHeight="1" x14ac:dyDescent="0.2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2:32" s="123" customFormat="1" ht="15.75" customHeight="1" x14ac:dyDescent="0.2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2:32" s="123" customFormat="1" ht="15.75" customHeight="1" x14ac:dyDescent="0.2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2:32" s="123" customFormat="1" ht="15.75" customHeight="1" x14ac:dyDescent="0.2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2:32" s="123" customFormat="1" ht="15.75" customHeight="1" x14ac:dyDescent="0.2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2:32" s="123" customFormat="1" ht="15.75" customHeight="1" x14ac:dyDescent="0.2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2:32" s="123" customFormat="1" ht="15.75" customHeight="1" x14ac:dyDescent="0.2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2:32" s="123" customFormat="1" ht="15.75" customHeight="1" x14ac:dyDescent="0.2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2:32" s="123" customFormat="1" ht="15.75" customHeight="1" x14ac:dyDescent="0.2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2:32" s="123" customFormat="1" ht="15.75" customHeight="1" x14ac:dyDescent="0.2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2:32" s="123" customFormat="1" ht="15.75" customHeight="1" x14ac:dyDescent="0.2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2:32" s="123" customFormat="1" ht="15.75" customHeight="1" x14ac:dyDescent="0.2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2:32" s="123" customFormat="1" ht="15.75" customHeight="1" x14ac:dyDescent="0.2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2:32" s="123" customFormat="1" ht="15.75" customHeight="1" x14ac:dyDescent="0.2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2:32" s="123" customFormat="1" ht="15.75" customHeight="1" x14ac:dyDescent="0.2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2:32" s="123" customFormat="1" ht="15.75" customHeight="1" x14ac:dyDescent="0.2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2:32" s="123" customFormat="1" ht="15.75" customHeight="1" x14ac:dyDescent="0.2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2:32" s="123" customFormat="1" ht="15.75" customHeight="1" x14ac:dyDescent="0.2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2:32" s="123" customFormat="1" ht="15.75" customHeight="1" x14ac:dyDescent="0.2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2:32" s="123" customFormat="1" ht="15.75" customHeight="1" x14ac:dyDescent="0.2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2:32" s="123" customFormat="1" ht="15.75" customHeight="1" x14ac:dyDescent="0.2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2:32" s="123" customFormat="1" ht="15.75" customHeight="1" x14ac:dyDescent="0.2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2:32" s="123" customFormat="1" ht="15.75" customHeight="1" x14ac:dyDescent="0.2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2:32" s="123" customFormat="1" ht="15.75" customHeight="1" x14ac:dyDescent="0.2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2:32" s="123" customFormat="1" ht="15.75" customHeight="1" x14ac:dyDescent="0.2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2:32" s="123" customFormat="1" ht="15.75" customHeight="1" x14ac:dyDescent="0.2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2:32" s="123" customFormat="1" ht="15.75" customHeight="1" x14ac:dyDescent="0.2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2:32" s="123" customFormat="1" ht="15.75" customHeight="1" x14ac:dyDescent="0.2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2:32" s="123" customFormat="1" ht="15.75" customHeight="1" x14ac:dyDescent="0.2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2:32" s="123" customFormat="1" ht="15.75" customHeight="1" x14ac:dyDescent="0.2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2:32" s="123" customFormat="1" ht="15.75" customHeight="1" x14ac:dyDescent="0.2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2:32" s="123" customFormat="1" ht="15.75" customHeight="1" x14ac:dyDescent="0.2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2:32" s="123" customFormat="1" ht="15.75" customHeight="1" x14ac:dyDescent="0.2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2:32" s="123" customFormat="1" ht="15.75" customHeight="1" x14ac:dyDescent="0.2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2:32" s="123" customFormat="1" ht="15.75" customHeight="1" x14ac:dyDescent="0.2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2:32" s="123" customFormat="1" ht="15.75" customHeight="1" x14ac:dyDescent="0.2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2:32" s="123" customFormat="1" ht="15.75" customHeight="1" x14ac:dyDescent="0.2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2:32" s="123" customFormat="1" ht="15.75" customHeight="1" x14ac:dyDescent="0.2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2:32" s="123" customFormat="1" ht="15.75" customHeight="1" x14ac:dyDescent="0.2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2:32" s="123" customFormat="1" ht="15.75" customHeight="1" x14ac:dyDescent="0.2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2:32" s="123" customFormat="1" ht="15.75" customHeight="1" x14ac:dyDescent="0.2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2:32" s="123" customFormat="1" ht="15.75" customHeight="1" x14ac:dyDescent="0.2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2:32" s="123" customFormat="1" ht="15.75" customHeight="1" x14ac:dyDescent="0.2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2:32" s="123" customFormat="1" ht="15.75" customHeight="1" x14ac:dyDescent="0.2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2:32" s="123" customFormat="1" ht="15.75" customHeight="1" x14ac:dyDescent="0.2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2:32" s="123" customFormat="1" ht="15.75" customHeight="1" x14ac:dyDescent="0.2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2:32" s="123" customFormat="1" ht="15.75" customHeight="1" x14ac:dyDescent="0.2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2:32" s="123" customFormat="1" ht="15.75" customHeight="1" x14ac:dyDescent="0.2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2:32" s="123" customFormat="1" ht="15.75" customHeight="1" x14ac:dyDescent="0.2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2:32" s="123" customFormat="1" ht="15.75" customHeight="1" x14ac:dyDescent="0.2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2:32" s="123" customFormat="1" ht="15.75" customHeight="1" x14ac:dyDescent="0.2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2:32" s="123" customFormat="1" ht="15.75" customHeight="1" x14ac:dyDescent="0.2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2:32" s="123" customFormat="1" ht="15.75" customHeight="1" x14ac:dyDescent="0.2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2:32" s="123" customFormat="1" ht="15.75" customHeight="1" x14ac:dyDescent="0.2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2:32" s="123" customFormat="1" ht="15.75" customHeight="1" x14ac:dyDescent="0.2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2:32" s="123" customFormat="1" ht="15.75" customHeight="1" x14ac:dyDescent="0.2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2:32" s="123" customFormat="1" ht="15.75" customHeight="1" x14ac:dyDescent="0.2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2:32" s="123" customFormat="1" ht="15.75" customHeight="1" x14ac:dyDescent="0.2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2:32" s="123" customFormat="1" ht="15.75" customHeight="1" x14ac:dyDescent="0.2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2:32" s="123" customFormat="1" ht="15.75" customHeight="1" x14ac:dyDescent="0.2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2:32" s="123" customFormat="1" ht="15.75" customHeight="1" x14ac:dyDescent="0.2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2:32" s="123" customFormat="1" ht="15.75" customHeight="1" x14ac:dyDescent="0.2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2:32" s="123" customFormat="1" ht="15.75" customHeight="1" x14ac:dyDescent="0.2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2:32" s="123" customFormat="1" ht="15.75" customHeight="1" x14ac:dyDescent="0.2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2:32" s="123" customFormat="1" ht="15.75" customHeight="1" x14ac:dyDescent="0.2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2:32" s="123" customFormat="1" ht="15.75" customHeight="1" x14ac:dyDescent="0.2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2:32" s="123" customFormat="1" ht="15.75" customHeight="1" x14ac:dyDescent="0.2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2:32" s="123" customFormat="1" ht="15.75" customHeight="1" x14ac:dyDescent="0.2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2:32" s="123" customFormat="1" ht="15.75" customHeight="1" x14ac:dyDescent="0.2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2:32" s="123" customFormat="1" ht="15.75" customHeight="1" x14ac:dyDescent="0.2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2:32" s="123" customFormat="1" ht="15.75" customHeight="1" x14ac:dyDescent="0.2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2:32" s="123" customFormat="1" ht="15.75" customHeight="1" x14ac:dyDescent="0.2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2:32" s="123" customFormat="1" ht="15.75" customHeight="1" x14ac:dyDescent="0.2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2:32" s="123" customFormat="1" ht="15.75" customHeight="1" x14ac:dyDescent="0.2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2:32" s="123" customFormat="1" ht="15.75" customHeight="1" x14ac:dyDescent="0.2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2:32" s="123" customFormat="1" ht="15.75" customHeight="1" x14ac:dyDescent="0.2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2:32" s="123" customFormat="1" ht="15.75" customHeight="1" x14ac:dyDescent="0.2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2:32" s="123" customFormat="1" ht="15.75" customHeight="1" x14ac:dyDescent="0.2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2:32" s="123" customFormat="1" ht="15.75" customHeight="1" x14ac:dyDescent="0.2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2:32" s="123" customFormat="1" ht="15.75" customHeight="1" x14ac:dyDescent="0.2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2:32" s="123" customFormat="1" ht="15.75" customHeight="1" x14ac:dyDescent="0.2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2:32" s="123" customFormat="1" ht="15.75" customHeight="1" x14ac:dyDescent="0.2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2:32" s="123" customFormat="1" ht="15.75" customHeight="1" x14ac:dyDescent="0.2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2:32" s="123" customFormat="1" ht="15.75" customHeight="1" x14ac:dyDescent="0.2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2:32" s="123" customFormat="1" ht="15.75" customHeight="1" x14ac:dyDescent="0.2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2:32" s="123" customFormat="1" ht="15.75" customHeight="1" x14ac:dyDescent="0.2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2:32" s="123" customFormat="1" ht="15.75" customHeight="1" x14ac:dyDescent="0.2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2:32" s="123" customFormat="1" ht="15.75" customHeight="1" x14ac:dyDescent="0.2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2:32" s="123" customFormat="1" ht="15.75" customHeight="1" x14ac:dyDescent="0.2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2:32" s="123" customFormat="1" ht="15.75" customHeight="1" x14ac:dyDescent="0.2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2:32" s="123" customFormat="1" ht="15.75" customHeight="1" x14ac:dyDescent="0.2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2:32" s="123" customFormat="1" ht="15.75" customHeight="1" x14ac:dyDescent="0.2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2:32" s="123" customFormat="1" ht="15.75" customHeight="1" x14ac:dyDescent="0.2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2:32" s="123" customFormat="1" ht="15.75" customHeight="1" x14ac:dyDescent="0.2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2:32" s="123" customFormat="1" ht="15.75" customHeight="1" x14ac:dyDescent="0.2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2:32" s="123" customFormat="1" ht="15.75" customHeight="1" x14ac:dyDescent="0.2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2:32" s="123" customFormat="1" ht="15.75" customHeight="1" x14ac:dyDescent="0.2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2:32" s="123" customFormat="1" ht="15.75" customHeight="1" x14ac:dyDescent="0.2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2:32" s="123" customFormat="1" ht="15.75" customHeight="1" x14ac:dyDescent="0.2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2:32" s="123" customFormat="1" ht="15.75" customHeight="1" x14ac:dyDescent="0.2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2:32" s="123" customFormat="1" ht="15.75" customHeight="1" x14ac:dyDescent="0.2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2:32" s="123" customFormat="1" ht="15.75" customHeight="1" x14ac:dyDescent="0.2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2:32" s="123" customFormat="1" ht="15.75" customHeight="1" x14ac:dyDescent="0.2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2:32" s="123" customFormat="1" ht="15.75" customHeight="1" x14ac:dyDescent="0.2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2:32" s="123" customFormat="1" ht="15.75" customHeight="1" x14ac:dyDescent="0.2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2:32" s="123" customFormat="1" ht="15.75" customHeight="1" x14ac:dyDescent="0.2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2:32" s="123" customFormat="1" ht="15.75" customHeight="1" x14ac:dyDescent="0.2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2:32" s="123" customFormat="1" ht="15.75" customHeight="1" x14ac:dyDescent="0.2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2:32" s="123" customFormat="1" ht="15.75" customHeight="1" x14ac:dyDescent="0.2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2:32" s="123" customFormat="1" ht="15.75" customHeight="1" x14ac:dyDescent="0.2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2:32" s="123" customFormat="1" ht="15.75" customHeight="1" x14ac:dyDescent="0.2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2:32" s="123" customFormat="1" ht="15.75" customHeight="1" x14ac:dyDescent="0.2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2:32" s="123" customFormat="1" ht="15.75" customHeight="1" x14ac:dyDescent="0.2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2:32" s="123" customFormat="1" ht="15.75" customHeight="1" x14ac:dyDescent="0.2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2:32" s="123" customFormat="1" ht="15.75" customHeight="1" x14ac:dyDescent="0.2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2:32" s="123" customFormat="1" ht="15.75" customHeight="1" x14ac:dyDescent="0.2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2:32" s="123" customFormat="1" ht="15.75" customHeight="1" x14ac:dyDescent="0.2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2:32" s="123" customFormat="1" ht="15.75" customHeight="1" x14ac:dyDescent="0.2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2:32" s="123" customFormat="1" ht="15.75" customHeight="1" x14ac:dyDescent="0.2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2:32" s="123" customFormat="1" ht="15.75" customHeight="1" x14ac:dyDescent="0.2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2:32" s="123" customFormat="1" ht="15.75" customHeight="1" x14ac:dyDescent="0.2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2:32" s="123" customFormat="1" ht="15.75" customHeight="1" x14ac:dyDescent="0.2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2:32" s="123" customFormat="1" ht="15.75" customHeight="1" x14ac:dyDescent="0.2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2:32" s="123" customFormat="1" ht="15.75" customHeight="1" x14ac:dyDescent="0.2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2:32" s="123" customFormat="1" ht="15.75" customHeight="1" x14ac:dyDescent="0.2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2:32" s="123" customFormat="1" ht="15.75" customHeight="1" x14ac:dyDescent="0.2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2:32" s="123" customFormat="1" ht="15.75" customHeight="1" x14ac:dyDescent="0.2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2:32" s="123" customFormat="1" ht="15.75" customHeight="1" x14ac:dyDescent="0.2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2:32" s="123" customFormat="1" ht="15.75" customHeight="1" x14ac:dyDescent="0.2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2:32" s="123" customFormat="1" ht="15.75" customHeight="1" x14ac:dyDescent="0.2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2:32" s="123" customFormat="1" ht="15.75" customHeight="1" x14ac:dyDescent="0.2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2:32" s="123" customFormat="1" ht="15.75" customHeight="1" x14ac:dyDescent="0.2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2:32" s="123" customFormat="1" ht="15.75" customHeight="1" x14ac:dyDescent="0.2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2:32" s="123" customFormat="1" ht="15.75" customHeight="1" x14ac:dyDescent="0.2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2:32" s="123" customFormat="1" ht="15.75" customHeight="1" x14ac:dyDescent="0.2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2:32" s="123" customFormat="1" ht="15.75" customHeight="1" x14ac:dyDescent="0.2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2:32" s="123" customFormat="1" ht="15.75" customHeight="1" x14ac:dyDescent="0.2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2:32" s="123" customFormat="1" ht="15.75" customHeight="1" x14ac:dyDescent="0.2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2:32" s="123" customFormat="1" ht="15.75" customHeight="1" x14ac:dyDescent="0.2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2:32" s="123" customFormat="1" ht="15.75" customHeight="1" x14ac:dyDescent="0.2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2:32" s="123" customFormat="1" ht="15.75" customHeight="1" x14ac:dyDescent="0.2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2:32" s="123" customFormat="1" ht="15.75" customHeight="1" x14ac:dyDescent="0.2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2:32" s="123" customFormat="1" ht="15.75" customHeight="1" x14ac:dyDescent="0.2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2:32" s="123" customFormat="1" ht="15.75" customHeight="1" x14ac:dyDescent="0.2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2:32" s="123" customFormat="1" ht="15.75" customHeight="1" x14ac:dyDescent="0.2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2:32" s="123" customFormat="1" ht="15.75" customHeight="1" x14ac:dyDescent="0.2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2:32" s="123" customFormat="1" ht="15.75" customHeight="1" x14ac:dyDescent="0.2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2:32" s="123" customFormat="1" ht="15.75" customHeight="1" x14ac:dyDescent="0.2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2:32" s="123" customFormat="1" ht="15.75" customHeight="1" x14ac:dyDescent="0.2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2:32" s="123" customFormat="1" ht="15.75" customHeight="1" x14ac:dyDescent="0.2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2:32" s="123" customFormat="1" ht="15.75" customHeight="1" x14ac:dyDescent="0.2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2:32" s="123" customFormat="1" ht="15.75" customHeight="1" x14ac:dyDescent="0.2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2:32" s="123" customFormat="1" ht="15.75" customHeight="1" x14ac:dyDescent="0.2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2:32" s="123" customFormat="1" ht="15.75" customHeight="1" x14ac:dyDescent="0.2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2:32" s="123" customFormat="1" ht="15.75" customHeight="1" x14ac:dyDescent="0.2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2:32" s="123" customFormat="1" ht="15.75" customHeight="1" x14ac:dyDescent="0.2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2:32" s="123" customFormat="1" ht="15.75" customHeight="1" x14ac:dyDescent="0.2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2:32" s="123" customFormat="1" ht="15.75" customHeight="1" x14ac:dyDescent="0.2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2:32" s="123" customFormat="1" ht="15.75" customHeight="1" x14ac:dyDescent="0.2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2:32" s="123" customFormat="1" ht="15.75" customHeight="1" x14ac:dyDescent="0.2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2:32" s="123" customFormat="1" ht="15.75" customHeight="1" x14ac:dyDescent="0.2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2:32" s="123" customFormat="1" ht="15.75" customHeight="1" x14ac:dyDescent="0.2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2:32" s="123" customFormat="1" ht="15.75" customHeight="1" x14ac:dyDescent="0.2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2:32" s="123" customFormat="1" ht="15.75" customHeight="1" x14ac:dyDescent="0.2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2:32" s="123" customFormat="1" ht="15.75" customHeight="1" x14ac:dyDescent="0.2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2:32" s="123" customFormat="1" ht="15.75" customHeight="1" x14ac:dyDescent="0.2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2:32" s="123" customFormat="1" ht="15.75" customHeight="1" x14ac:dyDescent="0.2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2:32" s="123" customFormat="1" ht="15.75" customHeight="1" x14ac:dyDescent="0.2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2:32" s="123" customFormat="1" ht="15.75" customHeight="1" x14ac:dyDescent="0.2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2:32" s="123" customFormat="1" ht="15.75" customHeight="1" x14ac:dyDescent="0.2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2:32" s="123" customFormat="1" ht="15.75" customHeight="1" x14ac:dyDescent="0.2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2:32" s="123" customFormat="1" ht="15.75" customHeight="1" x14ac:dyDescent="0.2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2:32" s="123" customFormat="1" ht="15.75" customHeight="1" x14ac:dyDescent="0.2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2:32" s="123" customFormat="1" ht="15.75" customHeight="1" x14ac:dyDescent="0.2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2:32" s="123" customFormat="1" ht="15.75" customHeight="1" x14ac:dyDescent="0.2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2:32" s="123" customFormat="1" ht="15.75" customHeight="1" x14ac:dyDescent="0.2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2:32" s="123" customFormat="1" ht="15.75" customHeight="1" x14ac:dyDescent="0.2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2:32" s="123" customFormat="1" ht="15.75" customHeight="1" x14ac:dyDescent="0.2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2:32" s="123" customFormat="1" ht="15.75" customHeight="1" x14ac:dyDescent="0.2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2:32" s="123" customFormat="1" ht="15.75" customHeight="1" x14ac:dyDescent="0.2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2:32" s="123" customFormat="1" ht="15.75" customHeight="1" x14ac:dyDescent="0.2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2:32" s="123" customFormat="1" ht="15.75" customHeight="1" x14ac:dyDescent="0.2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2:32" s="123" customFormat="1" ht="15.75" customHeight="1" x14ac:dyDescent="0.2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2:32" s="123" customFormat="1" ht="15.75" customHeight="1" x14ac:dyDescent="0.2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2:32" s="123" customFormat="1" ht="15.75" customHeight="1" x14ac:dyDescent="0.2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2:32" s="123" customFormat="1" ht="15.75" customHeight="1" x14ac:dyDescent="0.2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2:32" s="123" customFormat="1" ht="15.75" customHeight="1" x14ac:dyDescent="0.2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2:32" s="123" customFormat="1" ht="15.75" customHeight="1" x14ac:dyDescent="0.2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2:32" s="123" customFormat="1" ht="15.75" customHeight="1" x14ac:dyDescent="0.2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2:32" s="123" customFormat="1" ht="15.75" customHeight="1" x14ac:dyDescent="0.2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2:32" s="123" customFormat="1" ht="15.75" customHeight="1" x14ac:dyDescent="0.2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2:32" s="123" customFormat="1" ht="15.75" customHeight="1" x14ac:dyDescent="0.2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2:32" s="123" customFormat="1" ht="15.75" customHeight="1" x14ac:dyDescent="0.2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2:32" s="123" customFormat="1" ht="15.75" customHeight="1" x14ac:dyDescent="0.2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2:32" s="123" customFormat="1" ht="15.75" customHeight="1" x14ac:dyDescent="0.2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2:32" s="123" customFormat="1" ht="15.75" customHeight="1" x14ac:dyDescent="0.2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2:32" s="123" customFormat="1" ht="15.75" customHeight="1" x14ac:dyDescent="0.2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2:32" s="123" customFormat="1" ht="15.75" customHeight="1" x14ac:dyDescent="0.2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2:32" s="123" customFormat="1" ht="15.75" customHeight="1" x14ac:dyDescent="0.2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2:32" s="123" customFormat="1" ht="15.75" customHeight="1" x14ac:dyDescent="0.2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2:32" s="123" customFormat="1" ht="15.75" customHeight="1" x14ac:dyDescent="0.2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2:32" s="123" customFormat="1" ht="15.75" customHeight="1" x14ac:dyDescent="0.2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2:32" s="123" customFormat="1" ht="15.75" customHeight="1" x14ac:dyDescent="0.2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2:32" s="123" customFormat="1" ht="15.75" customHeight="1" x14ac:dyDescent="0.2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2:32" s="123" customFormat="1" ht="15.75" customHeight="1" x14ac:dyDescent="0.2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2:32" s="123" customFormat="1" ht="15.75" customHeight="1" x14ac:dyDescent="0.2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2:32" s="123" customFormat="1" ht="15.75" customHeight="1" x14ac:dyDescent="0.2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2:32" s="123" customFormat="1" ht="15.75" customHeight="1" x14ac:dyDescent="0.2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2:32" s="123" customFormat="1" ht="15.75" customHeight="1" x14ac:dyDescent="0.2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2:32" s="123" customFormat="1" ht="15.75" customHeight="1" x14ac:dyDescent="0.2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2:32" s="123" customFormat="1" ht="15.75" customHeight="1" x14ac:dyDescent="0.2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2:32" s="123" customFormat="1" ht="15.75" customHeight="1" x14ac:dyDescent="0.2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2:32" s="123" customFormat="1" ht="15.75" customHeight="1" x14ac:dyDescent="0.2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2:32" s="123" customFormat="1" ht="15.75" customHeight="1" x14ac:dyDescent="0.2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2:32" s="123" customFormat="1" ht="15.75" customHeight="1" x14ac:dyDescent="0.2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2:32" s="123" customFormat="1" ht="15.75" customHeight="1" x14ac:dyDescent="0.2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2:32" s="123" customFormat="1" ht="15.75" customHeight="1" x14ac:dyDescent="0.2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2:32" s="123" customFormat="1" ht="15.75" customHeight="1" x14ac:dyDescent="0.2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2:32" s="123" customFormat="1" ht="15.75" customHeight="1" x14ac:dyDescent="0.2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2:32" s="123" customFormat="1" ht="15.75" customHeight="1" x14ac:dyDescent="0.2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2:32" s="123" customFormat="1" ht="15.75" customHeight="1" x14ac:dyDescent="0.2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2:32" s="123" customFormat="1" ht="15.75" customHeight="1" x14ac:dyDescent="0.2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2:32" s="123" customFormat="1" ht="15.75" customHeight="1" x14ac:dyDescent="0.2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2:32" s="123" customFormat="1" ht="15.75" customHeight="1" x14ac:dyDescent="0.2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2:32" s="123" customFormat="1" ht="15.75" customHeight="1" x14ac:dyDescent="0.2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2:32" s="123" customFormat="1" ht="15.75" customHeight="1" x14ac:dyDescent="0.2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2:32" s="123" customFormat="1" ht="15.75" customHeight="1" x14ac:dyDescent="0.2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2:32" s="123" customFormat="1" ht="15.75" customHeight="1" x14ac:dyDescent="0.2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2:32" s="123" customFormat="1" ht="15.75" customHeight="1" x14ac:dyDescent="0.2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2:32" s="123" customFormat="1" ht="15.75" customHeight="1" x14ac:dyDescent="0.2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2:32" s="123" customFormat="1" ht="15.75" customHeight="1" x14ac:dyDescent="0.2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2:32" s="123" customFormat="1" ht="15.75" customHeight="1" x14ac:dyDescent="0.2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2:32" s="123" customFormat="1" ht="15.75" customHeight="1" x14ac:dyDescent="0.2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2:32" s="123" customFormat="1" ht="15.75" customHeight="1" x14ac:dyDescent="0.2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2:32" s="123" customFormat="1" ht="15.75" customHeight="1" x14ac:dyDescent="0.2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2:32" s="123" customFormat="1" ht="15.75" customHeight="1" x14ac:dyDescent="0.2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2:32" s="123" customFormat="1" ht="15.75" customHeight="1" x14ac:dyDescent="0.2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2:32" s="123" customFormat="1" ht="15.75" customHeight="1" x14ac:dyDescent="0.2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2:32" s="123" customFormat="1" ht="15.75" customHeight="1" x14ac:dyDescent="0.2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2:32" s="123" customFormat="1" ht="15.75" customHeight="1" x14ac:dyDescent="0.2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2:32" s="123" customFormat="1" ht="15.75" customHeight="1" x14ac:dyDescent="0.2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2:32" s="123" customFormat="1" ht="15.75" customHeight="1" x14ac:dyDescent="0.2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2:32" s="123" customFormat="1" ht="15.75" customHeight="1" x14ac:dyDescent="0.2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2:32" s="123" customFormat="1" ht="15.75" customHeight="1" x14ac:dyDescent="0.2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2:32" s="123" customFormat="1" ht="15.75" customHeight="1" x14ac:dyDescent="0.2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2:32" s="123" customFormat="1" ht="15.75" customHeight="1" x14ac:dyDescent="0.2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2:32" s="123" customFormat="1" ht="15.75" customHeight="1" x14ac:dyDescent="0.2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2:32" s="123" customFormat="1" ht="15.75" customHeight="1" x14ac:dyDescent="0.2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2:32" s="123" customFormat="1" ht="15.75" customHeight="1" x14ac:dyDescent="0.2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2:32" s="123" customFormat="1" ht="15.75" customHeight="1" x14ac:dyDescent="0.2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2:32" s="123" customFormat="1" ht="15.75" customHeight="1" x14ac:dyDescent="0.2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2:32" s="123" customFormat="1" ht="15.75" customHeight="1" x14ac:dyDescent="0.2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2:32" s="123" customFormat="1" ht="15.75" customHeight="1" x14ac:dyDescent="0.2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2:32" s="123" customFormat="1" ht="15.75" customHeight="1" x14ac:dyDescent="0.2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2:32" s="123" customFormat="1" ht="15.75" customHeight="1" x14ac:dyDescent="0.2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2:32" s="123" customFormat="1" ht="15.75" customHeight="1" x14ac:dyDescent="0.2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2:32" s="123" customFormat="1" ht="15.75" customHeight="1" x14ac:dyDescent="0.2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2:32" s="123" customFormat="1" ht="15.75" customHeight="1" x14ac:dyDescent="0.2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2:32" s="123" customFormat="1" ht="15.75" customHeight="1" x14ac:dyDescent="0.2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2:32" s="123" customFormat="1" ht="15.75" customHeight="1" x14ac:dyDescent="0.2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2:32" s="123" customFormat="1" ht="15.75" customHeight="1" x14ac:dyDescent="0.2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2:32" s="123" customFormat="1" ht="15.75" customHeight="1" x14ac:dyDescent="0.2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2:32" s="123" customFormat="1" ht="15.75" customHeight="1" x14ac:dyDescent="0.2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2:32" s="123" customFormat="1" ht="15.75" customHeight="1" x14ac:dyDescent="0.2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2:32" s="123" customFormat="1" ht="15.75" customHeight="1" x14ac:dyDescent="0.2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2:32" s="123" customFormat="1" ht="15.75" customHeight="1" x14ac:dyDescent="0.2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2:32" s="123" customFormat="1" ht="15.75" customHeight="1" x14ac:dyDescent="0.2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2:32" s="123" customFormat="1" ht="15.75" customHeight="1" x14ac:dyDescent="0.2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2:32" s="123" customFormat="1" ht="15.75" customHeight="1" x14ac:dyDescent="0.2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2:32" s="123" customFormat="1" ht="15.75" customHeight="1" x14ac:dyDescent="0.2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2:32" s="123" customFormat="1" ht="15.75" customHeight="1" x14ac:dyDescent="0.2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2:32" s="123" customFormat="1" ht="15.75" customHeight="1" x14ac:dyDescent="0.2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2:32" s="123" customFormat="1" ht="15.75" customHeight="1" x14ac:dyDescent="0.2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2:32" s="123" customFormat="1" ht="15.75" customHeight="1" x14ac:dyDescent="0.2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2:32" s="123" customFormat="1" ht="15.75" customHeight="1" x14ac:dyDescent="0.2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2:32" s="123" customFormat="1" ht="15.75" customHeight="1" x14ac:dyDescent="0.2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2:32" s="123" customFormat="1" ht="15.75" customHeight="1" x14ac:dyDescent="0.2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2:32" s="123" customFormat="1" ht="15.75" customHeight="1" x14ac:dyDescent="0.2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2:32" s="123" customFormat="1" ht="15.75" customHeight="1" x14ac:dyDescent="0.2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2:32" s="123" customFormat="1" ht="15.75" customHeight="1" x14ac:dyDescent="0.2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2:32" s="123" customFormat="1" ht="15.75" customHeight="1" x14ac:dyDescent="0.2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2:32" s="123" customFormat="1" ht="15.75" customHeight="1" x14ac:dyDescent="0.2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2:32" s="123" customFormat="1" ht="15.75" customHeight="1" x14ac:dyDescent="0.2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2:32" s="123" customFormat="1" ht="15.75" customHeight="1" x14ac:dyDescent="0.2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2:32" s="123" customFormat="1" ht="15.75" customHeight="1" x14ac:dyDescent="0.2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2:32" s="123" customFormat="1" ht="15.75" customHeight="1" x14ac:dyDescent="0.2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2:32" s="123" customFormat="1" ht="15.75" customHeight="1" x14ac:dyDescent="0.2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2:32" s="123" customFormat="1" ht="15.75" customHeight="1" x14ac:dyDescent="0.2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2:32" s="123" customFormat="1" ht="15.75" customHeight="1" x14ac:dyDescent="0.2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2:32" s="123" customFormat="1" ht="15.75" customHeight="1" x14ac:dyDescent="0.2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2:32" s="123" customFormat="1" ht="15.75" customHeight="1" x14ac:dyDescent="0.2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2:32" s="123" customFormat="1" ht="15.75" customHeight="1" x14ac:dyDescent="0.2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2:32" s="123" customFormat="1" ht="15.75" customHeight="1" x14ac:dyDescent="0.2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2:32" s="123" customFormat="1" ht="15.75" customHeight="1" x14ac:dyDescent="0.2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2:32" s="123" customFormat="1" ht="15.75" customHeight="1" x14ac:dyDescent="0.2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2:32" s="123" customFormat="1" ht="15.75" customHeight="1" x14ac:dyDescent="0.2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2:32" s="123" customFormat="1" ht="15.75" customHeight="1" x14ac:dyDescent="0.2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2:32" s="123" customFormat="1" ht="15.75" customHeight="1" x14ac:dyDescent="0.2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2:32" s="123" customFormat="1" ht="15.75" customHeight="1" x14ac:dyDescent="0.2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2:32" s="123" customFormat="1" ht="15.75" customHeight="1" x14ac:dyDescent="0.2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2:32" s="123" customFormat="1" ht="15.75" customHeight="1" x14ac:dyDescent="0.2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2:32" s="123" customFormat="1" ht="15.75" customHeight="1" x14ac:dyDescent="0.2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2:32" s="123" customFormat="1" ht="15.75" customHeight="1" x14ac:dyDescent="0.2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2:32" s="123" customFormat="1" ht="15.75" customHeight="1" x14ac:dyDescent="0.2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2:32" s="123" customFormat="1" ht="15.75" customHeight="1" x14ac:dyDescent="0.2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2:32" s="123" customFormat="1" ht="15.75" customHeight="1" x14ac:dyDescent="0.2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2:32" s="123" customFormat="1" ht="15.75" customHeight="1" x14ac:dyDescent="0.2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2:32" s="123" customFormat="1" ht="15.75" customHeight="1" x14ac:dyDescent="0.2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2:32" s="123" customFormat="1" ht="15.75" customHeight="1" x14ac:dyDescent="0.2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2:32" s="123" customFormat="1" ht="15.75" customHeight="1" x14ac:dyDescent="0.2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2:32" s="123" customFormat="1" ht="15.75" customHeight="1" x14ac:dyDescent="0.2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2:32" s="123" customFormat="1" ht="15.75" customHeight="1" x14ac:dyDescent="0.2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2:32" s="123" customFormat="1" ht="15.75" customHeight="1" x14ac:dyDescent="0.2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2:32" s="123" customFormat="1" ht="15.75" customHeight="1" x14ac:dyDescent="0.2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2:32" s="123" customFormat="1" ht="15.75" customHeight="1" x14ac:dyDescent="0.2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2:32" s="123" customFormat="1" ht="15.75" customHeight="1" x14ac:dyDescent="0.2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2:32" s="123" customFormat="1" ht="15.75" customHeight="1" x14ac:dyDescent="0.2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2:32" s="123" customFormat="1" ht="15.75" customHeight="1" x14ac:dyDescent="0.2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2:32" s="123" customFormat="1" ht="15.75" customHeight="1" x14ac:dyDescent="0.2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2:32" s="123" customFormat="1" ht="15.75" customHeight="1" x14ac:dyDescent="0.2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2:32" s="123" customFormat="1" ht="15.75" customHeight="1" x14ac:dyDescent="0.2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2:32" s="123" customFormat="1" ht="15.75" customHeight="1" x14ac:dyDescent="0.2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2:32" s="123" customFormat="1" ht="15.75" customHeight="1" x14ac:dyDescent="0.2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2:32" s="123" customFormat="1" ht="15.75" customHeight="1" x14ac:dyDescent="0.2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2:32" s="123" customFormat="1" ht="15.75" customHeight="1" x14ac:dyDescent="0.2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2:32" s="123" customFormat="1" ht="15" customHeight="1" x14ac:dyDescent="0.2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</sheetData>
  <mergeCells count="28">
    <mergeCell ref="I36:Q36"/>
    <mergeCell ref="C37:D37"/>
    <mergeCell ref="I37:Q37"/>
    <mergeCell ref="D2:D3"/>
    <mergeCell ref="A2:A3"/>
    <mergeCell ref="I44:Q44"/>
    <mergeCell ref="Z44:AB44"/>
    <mergeCell ref="I45:Q45"/>
    <mergeCell ref="Z45:AB45"/>
    <mergeCell ref="I40:Q40"/>
    <mergeCell ref="I41:Q41"/>
    <mergeCell ref="I42:Q42"/>
    <mergeCell ref="I43:Q43"/>
    <mergeCell ref="F1:I1"/>
    <mergeCell ref="F2:I2"/>
    <mergeCell ref="B2:C2"/>
    <mergeCell ref="Z43:AB43"/>
    <mergeCell ref="C42:D42"/>
    <mergeCell ref="C43:D43"/>
    <mergeCell ref="Z37:AB37"/>
    <mergeCell ref="C38:D38"/>
    <mergeCell ref="I38:Q38"/>
    <mergeCell ref="Z38:AB38"/>
    <mergeCell ref="C39:D39"/>
    <mergeCell ref="I39:Q39"/>
    <mergeCell ref="Z39:AB39"/>
    <mergeCell ref="I35:Q35"/>
    <mergeCell ref="C36:D36"/>
  </mergeCells>
  <conditionalFormatting sqref="B4:C4">
    <cfRule type="duplicateValues" dxfId="25" priority="26"/>
  </conditionalFormatting>
  <conditionalFormatting sqref="B5:C5">
    <cfRule type="duplicateValues" dxfId="24" priority="25"/>
  </conditionalFormatting>
  <conditionalFormatting sqref="B6:C6">
    <cfRule type="duplicateValues" dxfId="23" priority="24"/>
  </conditionalFormatting>
  <conditionalFormatting sqref="B7:C7">
    <cfRule type="duplicateValues" dxfId="22" priority="23"/>
  </conditionalFormatting>
  <conditionalFormatting sqref="B8:C8">
    <cfRule type="duplicateValues" dxfId="21" priority="22"/>
  </conditionalFormatting>
  <conditionalFormatting sqref="B9:C9">
    <cfRule type="duplicateValues" dxfId="20" priority="21"/>
  </conditionalFormatting>
  <conditionalFormatting sqref="B10:C10">
    <cfRule type="duplicateValues" dxfId="19" priority="20"/>
  </conditionalFormatting>
  <conditionalFormatting sqref="B11:C11">
    <cfRule type="duplicateValues" dxfId="18" priority="19"/>
  </conditionalFormatting>
  <conditionalFormatting sqref="B12:C12">
    <cfRule type="duplicateValues" dxfId="17" priority="18"/>
  </conditionalFormatting>
  <conditionalFormatting sqref="B13:C13">
    <cfRule type="duplicateValues" dxfId="16" priority="17"/>
  </conditionalFormatting>
  <conditionalFormatting sqref="B14:C14">
    <cfRule type="duplicateValues" dxfId="15" priority="16"/>
  </conditionalFormatting>
  <conditionalFormatting sqref="B15:C15">
    <cfRule type="duplicateValues" dxfId="14" priority="15"/>
  </conditionalFormatting>
  <conditionalFormatting sqref="B16:C16">
    <cfRule type="duplicateValues" dxfId="13" priority="14"/>
  </conditionalFormatting>
  <conditionalFormatting sqref="B17:C17">
    <cfRule type="duplicateValues" dxfId="12" priority="13"/>
  </conditionalFormatting>
  <conditionalFormatting sqref="B18:C18">
    <cfRule type="duplicateValues" dxfId="11" priority="12"/>
  </conditionalFormatting>
  <conditionalFormatting sqref="B19:C19">
    <cfRule type="duplicateValues" dxfId="10" priority="11"/>
  </conditionalFormatting>
  <conditionalFormatting sqref="B20:C20">
    <cfRule type="duplicateValues" dxfId="9" priority="10"/>
  </conditionalFormatting>
  <conditionalFormatting sqref="B21:C21">
    <cfRule type="duplicateValues" dxfId="8" priority="9"/>
  </conditionalFormatting>
  <conditionalFormatting sqref="B22:C22">
    <cfRule type="duplicateValues" dxfId="7" priority="8"/>
  </conditionalFormatting>
  <conditionalFormatting sqref="B23:C23">
    <cfRule type="duplicateValues" dxfId="6" priority="7"/>
  </conditionalFormatting>
  <conditionalFormatting sqref="B24:C24">
    <cfRule type="duplicateValues" dxfId="5" priority="6"/>
  </conditionalFormatting>
  <conditionalFormatting sqref="B25:C25">
    <cfRule type="duplicateValues" dxfId="4" priority="5"/>
  </conditionalFormatting>
  <conditionalFormatting sqref="B26:C26">
    <cfRule type="duplicateValues" dxfId="3" priority="4"/>
  </conditionalFormatting>
  <conditionalFormatting sqref="B28:C28">
    <cfRule type="duplicateValues" dxfId="2" priority="3"/>
  </conditionalFormatting>
  <conditionalFormatting sqref="B30:C30">
    <cfRule type="duplicateValues" dxfId="1" priority="1"/>
  </conditionalFormatting>
  <conditionalFormatting sqref="C29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995"/>
  <sheetViews>
    <sheetView zoomScale="70" zoomScaleNormal="70" workbookViewId="0">
      <selection activeCell="R9" sqref="R9"/>
    </sheetView>
  </sheetViews>
  <sheetFormatPr defaultColWidth="14.5" defaultRowHeight="15.75" x14ac:dyDescent="0.25"/>
  <cols>
    <col min="1" max="1" width="8.625" style="144" customWidth="1"/>
    <col min="2" max="2" width="10.125" customWidth="1"/>
    <col min="3" max="3" width="9.625" customWidth="1"/>
    <col min="4" max="5" width="13.125" customWidth="1"/>
    <col min="6" max="6" width="6.5" customWidth="1"/>
    <col min="7" max="7" width="8.75" customWidth="1"/>
    <col min="8" max="8" width="7.125" style="94" customWidth="1"/>
    <col min="9" max="9" width="5.75" customWidth="1"/>
    <col min="10" max="10" width="10.75" customWidth="1"/>
    <col min="11" max="14" width="6" customWidth="1"/>
    <col min="15" max="16" width="3.5" customWidth="1"/>
    <col min="17" max="17" width="3.75" customWidth="1"/>
    <col min="18" max="18" width="3.625" customWidth="1"/>
    <col min="19" max="19" width="4.375" customWidth="1"/>
    <col min="20" max="20" width="4" customWidth="1"/>
    <col min="21" max="21" width="3.625" customWidth="1"/>
    <col min="22" max="22" width="3.75" customWidth="1"/>
    <col min="23" max="23" width="4.125" customWidth="1"/>
    <col min="24" max="24" width="3.125" customWidth="1"/>
    <col min="25" max="25" width="3.5" customWidth="1"/>
    <col min="26" max="26" width="3" customWidth="1"/>
    <col min="27" max="27" width="3.5" customWidth="1"/>
    <col min="28" max="28" width="3" customWidth="1"/>
    <col min="29" max="29" width="2.75" customWidth="1"/>
    <col min="30" max="30" width="2.5" customWidth="1"/>
    <col min="31" max="31" width="2.75" customWidth="1"/>
    <col min="32" max="32" width="3.375" customWidth="1"/>
    <col min="33" max="33" width="9.375" customWidth="1"/>
    <col min="34" max="34" width="7.75" customWidth="1"/>
    <col min="35" max="35" width="4.5" customWidth="1"/>
    <col min="36" max="36" width="3.5" customWidth="1"/>
    <col min="37" max="37" width="4.375" customWidth="1"/>
    <col min="38" max="38" width="3.75" customWidth="1"/>
  </cols>
  <sheetData>
    <row r="1" spans="1:9" ht="16.5" thickBot="1" x14ac:dyDescent="0.3">
      <c r="C1" s="155"/>
      <c r="D1" s="167" t="s">
        <v>149</v>
      </c>
      <c r="E1" s="316"/>
      <c r="F1" s="282"/>
      <c r="G1" s="282"/>
      <c r="H1" s="282"/>
      <c r="I1" s="282"/>
    </row>
    <row r="2" spans="1:9" ht="15" customHeight="1" thickBot="1" x14ac:dyDescent="0.3">
      <c r="A2" s="280" t="s">
        <v>1</v>
      </c>
      <c r="B2" s="254" t="s">
        <v>52</v>
      </c>
      <c r="C2" s="255"/>
      <c r="D2" s="278" t="s">
        <v>2</v>
      </c>
      <c r="F2" s="156" t="s">
        <v>150</v>
      </c>
      <c r="G2" s="157"/>
      <c r="H2" s="157"/>
      <c r="I2" s="157"/>
    </row>
    <row r="3" spans="1:9" ht="29.1" customHeight="1" thickBot="1" x14ac:dyDescent="0.3">
      <c r="A3" s="281"/>
      <c r="B3" s="74" t="s">
        <v>53</v>
      </c>
      <c r="C3" s="75" t="s">
        <v>54</v>
      </c>
      <c r="D3" s="279"/>
      <c r="F3" s="145" t="s">
        <v>151</v>
      </c>
      <c r="G3" s="147" t="s">
        <v>55</v>
      </c>
      <c r="H3" s="148" t="s">
        <v>152</v>
      </c>
      <c r="I3" s="146" t="s">
        <v>153</v>
      </c>
    </row>
    <row r="4" spans="1:9" ht="16.5" thickBot="1" x14ac:dyDescent="0.3">
      <c r="A4" s="115" t="s">
        <v>154</v>
      </c>
      <c r="B4" s="158">
        <v>62.419133330000001</v>
      </c>
      <c r="C4" s="158">
        <v>-75.556950000000001</v>
      </c>
      <c r="D4" s="149" t="s">
        <v>6</v>
      </c>
      <c r="E4">
        <f>(F4+H4)/(SUM(F4:I4))</f>
        <v>0.75</v>
      </c>
      <c r="F4" s="27">
        <v>2</v>
      </c>
      <c r="G4" s="28">
        <v>1</v>
      </c>
      <c r="H4" s="27">
        <v>1</v>
      </c>
      <c r="I4" s="28"/>
    </row>
    <row r="5" spans="1:9" x14ac:dyDescent="0.25">
      <c r="A5" s="127" t="s">
        <v>155</v>
      </c>
      <c r="B5" s="158">
        <v>62.394766670000003</v>
      </c>
      <c r="C5" s="158">
        <v>-75.557910000000007</v>
      </c>
      <c r="D5" s="150" t="s">
        <v>6</v>
      </c>
      <c r="E5">
        <f t="shared" ref="E5:E16" si="0">(F5+H5)/(SUM(F5:I5))</f>
        <v>1</v>
      </c>
      <c r="F5" s="27">
        <v>1</v>
      </c>
      <c r="G5" s="28"/>
      <c r="H5" s="27">
        <v>2</v>
      </c>
      <c r="I5" s="28"/>
    </row>
    <row r="6" spans="1:9" ht="16.5" thickBot="1" x14ac:dyDescent="0.3">
      <c r="A6" s="159" t="s">
        <v>156</v>
      </c>
      <c r="B6" s="158">
        <v>62.354500000000002</v>
      </c>
      <c r="C6" s="158">
        <v>-75.562898333000007</v>
      </c>
      <c r="D6" s="151" t="s">
        <v>6</v>
      </c>
      <c r="E6">
        <f t="shared" si="0"/>
        <v>1</v>
      </c>
      <c r="F6" s="27">
        <v>1</v>
      </c>
      <c r="G6" s="28"/>
      <c r="H6" s="27">
        <v>2</v>
      </c>
      <c r="I6" s="28"/>
    </row>
    <row r="7" spans="1:9" x14ac:dyDescent="0.25">
      <c r="A7" s="161" t="s">
        <v>157</v>
      </c>
      <c r="B7" s="160">
        <v>62.372050000000002</v>
      </c>
      <c r="C7" s="160">
        <v>-75.561363333000003</v>
      </c>
      <c r="D7" s="150" t="s">
        <v>6</v>
      </c>
      <c r="E7" t="e">
        <f t="shared" si="0"/>
        <v>#DIV/0!</v>
      </c>
      <c r="F7" s="27"/>
      <c r="G7" s="28"/>
      <c r="H7" s="27"/>
      <c r="I7" s="28"/>
    </row>
    <row r="8" spans="1:9" ht="16.5" thickBot="1" x14ac:dyDescent="0.3">
      <c r="A8" s="276" t="s">
        <v>158</v>
      </c>
      <c r="B8" s="158">
        <v>62.287816669999998</v>
      </c>
      <c r="C8" s="158">
        <v>-75.532881666999998</v>
      </c>
      <c r="D8" s="166" t="s">
        <v>12</v>
      </c>
      <c r="E8">
        <f t="shared" si="0"/>
        <v>0</v>
      </c>
      <c r="F8" s="27"/>
      <c r="G8" s="28"/>
      <c r="H8" s="27"/>
      <c r="I8" s="28">
        <v>1</v>
      </c>
    </row>
    <row r="9" spans="1:9" ht="16.5" thickBot="1" x14ac:dyDescent="0.3">
      <c r="A9" s="277"/>
      <c r="B9" s="158">
        <v>62.287816669999998</v>
      </c>
      <c r="C9" s="158">
        <v>-75.532881666999998</v>
      </c>
      <c r="D9" s="150" t="s">
        <v>6</v>
      </c>
      <c r="E9" t="e">
        <f t="shared" si="0"/>
        <v>#DIV/0!</v>
      </c>
      <c r="F9" s="27"/>
      <c r="G9" s="28"/>
      <c r="H9" s="27"/>
      <c r="I9" s="28"/>
    </row>
    <row r="10" spans="1:9" ht="15.75" customHeight="1" thickBot="1" x14ac:dyDescent="0.3">
      <c r="A10" s="138" t="s">
        <v>159</v>
      </c>
      <c r="B10" s="162">
        <v>62.297216669999997</v>
      </c>
      <c r="C10" s="162">
        <v>-75.536276666999996</v>
      </c>
      <c r="D10" s="163"/>
      <c r="E10" t="e">
        <f t="shared" si="0"/>
        <v>#DIV/0!</v>
      </c>
      <c r="F10" s="139"/>
      <c r="G10" s="140"/>
      <c r="H10" s="139"/>
      <c r="I10" s="140"/>
    </row>
    <row r="11" spans="1:9" ht="15.75" customHeight="1" thickBot="1" x14ac:dyDescent="0.3">
      <c r="A11" s="152" t="s">
        <v>160</v>
      </c>
      <c r="B11" s="158">
        <v>62.266116670000002</v>
      </c>
      <c r="C11" s="158">
        <v>-75.543571666999995</v>
      </c>
      <c r="E11">
        <f t="shared" si="0"/>
        <v>1</v>
      </c>
      <c r="F11" s="27"/>
      <c r="G11" s="28"/>
      <c r="H11" s="27">
        <v>1</v>
      </c>
      <c r="I11" s="28"/>
    </row>
    <row r="12" spans="1:9" x14ac:dyDescent="0.25">
      <c r="A12" s="127" t="s">
        <v>161</v>
      </c>
      <c r="B12" s="158">
        <v>62.27181667</v>
      </c>
      <c r="C12" s="158">
        <v>-75.544133333000005</v>
      </c>
      <c r="D12" s="150" t="s">
        <v>6</v>
      </c>
      <c r="E12" t="e">
        <f t="shared" si="0"/>
        <v>#DIV/0!</v>
      </c>
      <c r="F12" s="27"/>
      <c r="G12" s="28"/>
      <c r="H12" s="27"/>
      <c r="I12" s="28"/>
    </row>
    <row r="13" spans="1:9" ht="16.5" thickBot="1" x14ac:dyDescent="0.3">
      <c r="A13" s="153" t="s">
        <v>162</v>
      </c>
      <c r="B13" s="164">
        <v>62.289516669999998</v>
      </c>
      <c r="C13" s="164">
        <v>-75.543728333000004</v>
      </c>
      <c r="D13" s="154" t="s">
        <v>6</v>
      </c>
      <c r="E13">
        <f t="shared" si="0"/>
        <v>1</v>
      </c>
      <c r="F13" s="27">
        <v>1</v>
      </c>
      <c r="G13" s="28"/>
      <c r="H13" s="27"/>
      <c r="I13" s="28"/>
    </row>
    <row r="14" spans="1:9" x14ac:dyDescent="0.25">
      <c r="A14" s="127" t="s">
        <v>163</v>
      </c>
      <c r="B14" s="158">
        <v>62.423099999999998</v>
      </c>
      <c r="C14" s="158">
        <v>-75.554098332999999</v>
      </c>
      <c r="D14" s="150" t="s">
        <v>6</v>
      </c>
      <c r="E14">
        <f t="shared" si="0"/>
        <v>1</v>
      </c>
      <c r="F14" s="27">
        <v>1</v>
      </c>
      <c r="G14" s="28"/>
      <c r="H14" s="27"/>
      <c r="I14" s="28"/>
    </row>
    <row r="15" spans="1:9" ht="16.5" thickBot="1" x14ac:dyDescent="0.3">
      <c r="A15" s="165" t="s">
        <v>164</v>
      </c>
      <c r="B15" s="162">
        <v>62.34803333</v>
      </c>
      <c r="C15" s="162">
        <v>-75.548739999999995</v>
      </c>
      <c r="D15" s="168"/>
      <c r="E15" t="e">
        <f t="shared" si="0"/>
        <v>#DIV/0!</v>
      </c>
      <c r="F15" s="139"/>
      <c r="G15" s="140"/>
      <c r="H15" s="139"/>
      <c r="I15" s="140"/>
    </row>
    <row r="16" spans="1:9" ht="15.75" customHeight="1" thickBot="1" x14ac:dyDescent="0.3">
      <c r="A16" s="115" t="s">
        <v>165</v>
      </c>
      <c r="B16" s="158">
        <v>62.274866670000002</v>
      </c>
      <c r="C16" s="158">
        <v>-75.548276666999996</v>
      </c>
      <c r="D16" s="149" t="s">
        <v>6</v>
      </c>
      <c r="E16" t="e">
        <f t="shared" si="0"/>
        <v>#DIV/0!</v>
      </c>
      <c r="F16" s="3"/>
      <c r="G16" s="5"/>
      <c r="H16" s="3"/>
      <c r="I16" s="5"/>
    </row>
    <row r="17" spans="2:25" x14ac:dyDescent="0.25">
      <c r="H17"/>
    </row>
    <row r="19" spans="2:25" ht="15.75" customHeight="1" x14ac:dyDescent="0.25"/>
    <row r="20" spans="2:25" ht="15.75" customHeight="1" x14ac:dyDescent="0.25">
      <c r="B20" s="13" t="s">
        <v>23</v>
      </c>
      <c r="C20" s="13"/>
      <c r="D20" s="13"/>
      <c r="E20" s="13"/>
      <c r="H20" t="s">
        <v>24</v>
      </c>
      <c r="K20" s="2">
        <v>9</v>
      </c>
    </row>
    <row r="21" spans="2:25" ht="15.75" customHeight="1" x14ac:dyDescent="0.25">
      <c r="B21" s="234" t="s">
        <v>25</v>
      </c>
      <c r="C21" s="234"/>
      <c r="D21" s="234"/>
      <c r="E21" s="13"/>
      <c r="H21" t="s">
        <v>26</v>
      </c>
      <c r="K21" s="2">
        <v>9</v>
      </c>
      <c r="R21" s="234" t="s">
        <v>26</v>
      </c>
      <c r="S21" s="234"/>
      <c r="T21" s="234"/>
      <c r="U21" s="234"/>
      <c r="V21" s="234"/>
      <c r="W21" s="234"/>
      <c r="Y21">
        <v>9</v>
      </c>
    </row>
    <row r="22" spans="2:25" ht="15.75" customHeight="1" x14ac:dyDescent="0.25">
      <c r="B22" s="234" t="s">
        <v>27</v>
      </c>
      <c r="C22" s="234"/>
      <c r="D22" s="234"/>
      <c r="E22" s="13"/>
      <c r="H22" t="s">
        <v>28</v>
      </c>
      <c r="K22" s="2">
        <v>2</v>
      </c>
    </row>
    <row r="23" spans="2:25" ht="15.75" customHeight="1" x14ac:dyDescent="0.25">
      <c r="B23" s="234" t="s">
        <v>29</v>
      </c>
      <c r="C23" s="234"/>
      <c r="D23" s="234"/>
      <c r="E23" s="13"/>
      <c r="H23" t="s">
        <v>31</v>
      </c>
      <c r="K23" s="2">
        <v>13</v>
      </c>
      <c r="R23" s="234" t="s">
        <v>166</v>
      </c>
      <c r="S23" s="234"/>
      <c r="T23" s="234"/>
      <c r="U23" s="234"/>
      <c r="V23" s="234"/>
      <c r="W23" s="234"/>
      <c r="Y23">
        <v>13</v>
      </c>
    </row>
    <row r="24" spans="2:25" ht="15.75" customHeight="1" x14ac:dyDescent="0.25">
      <c r="B24" s="235"/>
      <c r="C24" s="235"/>
      <c r="H24" s="234" t="s">
        <v>32</v>
      </c>
      <c r="I24" s="234"/>
      <c r="J24" s="234"/>
      <c r="K24" s="2">
        <v>6</v>
      </c>
      <c r="L24" s="2"/>
      <c r="M24" s="2"/>
      <c r="N24" s="2"/>
      <c r="R24" t="s">
        <v>33</v>
      </c>
      <c r="Y24">
        <v>6</v>
      </c>
    </row>
    <row r="25" spans="2:25" ht="15.75" customHeight="1" x14ac:dyDescent="0.25">
      <c r="H25" s="234" t="s">
        <v>34</v>
      </c>
      <c r="I25" s="234"/>
      <c r="J25" s="234"/>
      <c r="K25" s="2">
        <v>3</v>
      </c>
      <c r="L25" s="2"/>
      <c r="M25" s="2"/>
      <c r="N25" s="2"/>
      <c r="R25" t="s">
        <v>35</v>
      </c>
      <c r="Y25">
        <v>1</v>
      </c>
    </row>
    <row r="26" spans="2:25" ht="15.75" customHeight="1" x14ac:dyDescent="0.25">
      <c r="B26" s="234" t="s">
        <v>36</v>
      </c>
      <c r="C26" s="234"/>
      <c r="D26" s="234"/>
      <c r="E26" s="13"/>
      <c r="H26" t="s">
        <v>37</v>
      </c>
      <c r="K26" s="2">
        <v>10</v>
      </c>
      <c r="R26" s="234" t="s">
        <v>38</v>
      </c>
      <c r="S26" s="234"/>
      <c r="T26" s="234"/>
      <c r="U26" s="234"/>
      <c r="V26" s="234"/>
      <c r="W26" s="234"/>
      <c r="Y26">
        <v>6</v>
      </c>
    </row>
    <row r="27" spans="2:25" ht="15.75" customHeight="1" x14ac:dyDescent="0.25">
      <c r="B27" s="234" t="s">
        <v>39</v>
      </c>
      <c r="C27" s="234"/>
      <c r="D27" s="234"/>
      <c r="E27" s="13"/>
      <c r="H27" s="234" t="s">
        <v>40</v>
      </c>
      <c r="I27" s="234"/>
      <c r="J27" s="234"/>
      <c r="K27" s="2">
        <v>1</v>
      </c>
      <c r="L27" s="2"/>
      <c r="M27" s="2"/>
      <c r="N27" s="2"/>
      <c r="R27" s="234" t="s">
        <v>41</v>
      </c>
      <c r="S27" s="234"/>
      <c r="T27" s="234"/>
      <c r="U27" s="234"/>
      <c r="V27" s="234"/>
      <c r="W27" s="234"/>
      <c r="Y27">
        <v>1</v>
      </c>
    </row>
    <row r="28" spans="2:25" ht="15.75" customHeight="1" x14ac:dyDescent="0.25">
      <c r="H28" t="s">
        <v>42</v>
      </c>
      <c r="K28" s="2">
        <v>2</v>
      </c>
      <c r="R28" s="234" t="s">
        <v>43</v>
      </c>
      <c r="S28" s="234"/>
      <c r="T28" s="234"/>
      <c r="U28" s="234"/>
      <c r="V28" s="234"/>
      <c r="W28" s="234"/>
      <c r="Y28">
        <v>2</v>
      </c>
    </row>
    <row r="29" spans="2:25" ht="15.75" customHeight="1" x14ac:dyDescent="0.25">
      <c r="H29" s="234" t="s">
        <v>44</v>
      </c>
      <c r="I29" s="234"/>
      <c r="J29" s="234"/>
      <c r="K29" s="2">
        <v>0</v>
      </c>
      <c r="L29" s="2"/>
      <c r="M29" s="2"/>
      <c r="N29" s="2"/>
      <c r="R29" s="234" t="s">
        <v>45</v>
      </c>
      <c r="S29" s="234"/>
      <c r="T29" s="234"/>
      <c r="U29" s="234"/>
      <c r="V29" s="234"/>
      <c r="W29" s="234"/>
    </row>
    <row r="30" spans="2:25" ht="15.75" customHeight="1" x14ac:dyDescent="0.25">
      <c r="H30"/>
    </row>
    <row r="31" spans="2:25" ht="15.75" customHeight="1" x14ac:dyDescent="0.25"/>
    <row r="32" spans="2:25" ht="15.75" customHeight="1" x14ac:dyDescent="0.25"/>
    <row r="33" spans="2:39" ht="15.75" customHeight="1" x14ac:dyDescent="0.25"/>
    <row r="34" spans="2:39" ht="15.75" customHeight="1" x14ac:dyDescent="0.25">
      <c r="B34" s="143">
        <v>6.2287816669999998</v>
      </c>
      <c r="C34" s="143">
        <v>-75.532881666999998</v>
      </c>
    </row>
    <row r="35" spans="2:39" ht="15.75" customHeight="1" x14ac:dyDescent="0.25">
      <c r="B35" s="143">
        <v>6.2287816669999998</v>
      </c>
      <c r="C35" s="143">
        <v>-75.532881666999998</v>
      </c>
    </row>
    <row r="36" spans="2:39" ht="15.75" customHeight="1" x14ac:dyDescent="0.25"/>
    <row r="37" spans="2:39" ht="15.75" customHeight="1" x14ac:dyDescent="0.25"/>
    <row r="38" spans="2:39" ht="15.75" customHeight="1" x14ac:dyDescent="0.25"/>
    <row r="39" spans="2:39" ht="15.75" customHeight="1" x14ac:dyDescent="0.25"/>
    <row r="40" spans="2:39" s="144" customFormat="1" ht="15.75" customHeight="1" x14ac:dyDescent="0.25">
      <c r="B40"/>
      <c r="C40"/>
      <c r="D40"/>
      <c r="E40"/>
      <c r="F40"/>
      <c r="G40"/>
      <c r="H40" s="94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2:39" s="144" customFormat="1" ht="15.75" customHeight="1" x14ac:dyDescent="0.25">
      <c r="B41"/>
      <c r="C41"/>
      <c r="D41"/>
      <c r="E41"/>
      <c r="F41"/>
      <c r="G41"/>
      <c r="H41" s="94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2:39" s="144" customFormat="1" ht="15.75" customHeight="1" x14ac:dyDescent="0.25">
      <c r="B42"/>
      <c r="C42"/>
      <c r="D42"/>
      <c r="E42"/>
      <c r="F42"/>
      <c r="G42"/>
      <c r="H42" s="94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2:39" s="144" customFormat="1" ht="15.75" customHeight="1" x14ac:dyDescent="0.25">
      <c r="B43"/>
      <c r="C43"/>
      <c r="D43"/>
      <c r="E43"/>
      <c r="F43"/>
      <c r="G43"/>
      <c r="H43" s="94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2:39" s="144" customFormat="1" ht="15.75" customHeight="1" x14ac:dyDescent="0.25">
      <c r="B44"/>
      <c r="C44"/>
      <c r="D44"/>
      <c r="E44"/>
      <c r="F44"/>
      <c r="G44"/>
      <c r="H44" s="9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2:39" s="144" customFormat="1" ht="15.75" customHeight="1" x14ac:dyDescent="0.25">
      <c r="B45"/>
      <c r="C45"/>
      <c r="D45"/>
      <c r="E45"/>
      <c r="F45"/>
      <c r="G45"/>
      <c r="H45" s="94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2:39" s="144" customFormat="1" ht="15.75" customHeight="1" x14ac:dyDescent="0.25">
      <c r="B46"/>
      <c r="C46"/>
      <c r="D46"/>
      <c r="E46"/>
      <c r="F46"/>
      <c r="G46"/>
      <c r="H46" s="94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2:39" s="144" customFormat="1" ht="15.75" customHeight="1" x14ac:dyDescent="0.25">
      <c r="B47"/>
      <c r="C47"/>
      <c r="D47"/>
      <c r="E47"/>
      <c r="F47"/>
      <c r="G47"/>
      <c r="H47" s="94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2:39" s="144" customFormat="1" ht="15.75" customHeight="1" x14ac:dyDescent="0.25">
      <c r="B48"/>
      <c r="C48"/>
      <c r="D48"/>
      <c r="E48"/>
      <c r="F48"/>
      <c r="G48"/>
      <c r="H48" s="94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2:39" s="144" customFormat="1" ht="15.75" customHeight="1" x14ac:dyDescent="0.25">
      <c r="B49"/>
      <c r="C49"/>
      <c r="D49"/>
      <c r="E49"/>
      <c r="F49"/>
      <c r="G49"/>
      <c r="H49" s="94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2:39" s="144" customFormat="1" ht="15.75" customHeight="1" x14ac:dyDescent="0.25">
      <c r="B50"/>
      <c r="C50"/>
      <c r="D50"/>
      <c r="E50"/>
      <c r="F50"/>
      <c r="G50"/>
      <c r="H50" s="94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2:39" s="144" customFormat="1" ht="15.75" customHeight="1" x14ac:dyDescent="0.25">
      <c r="B51"/>
      <c r="C51"/>
      <c r="D51"/>
      <c r="E51"/>
      <c r="F51"/>
      <c r="G51"/>
      <c r="H51" s="94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2:39" s="144" customFormat="1" ht="15.75" customHeight="1" x14ac:dyDescent="0.25">
      <c r="B52"/>
      <c r="C52"/>
      <c r="D52"/>
      <c r="E52"/>
      <c r="F52"/>
      <c r="G52"/>
      <c r="H52" s="94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2:39" s="144" customFormat="1" ht="15.75" customHeight="1" x14ac:dyDescent="0.25">
      <c r="B53"/>
      <c r="C53"/>
      <c r="D53"/>
      <c r="E53"/>
      <c r="F53"/>
      <c r="G53"/>
      <c r="H53" s="94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2:39" s="144" customFormat="1" ht="15.75" customHeight="1" x14ac:dyDescent="0.25">
      <c r="B54"/>
      <c r="C54"/>
      <c r="D54"/>
      <c r="E54"/>
      <c r="F54"/>
      <c r="G54"/>
      <c r="H54" s="9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2:39" s="144" customFormat="1" ht="15.75" customHeight="1" x14ac:dyDescent="0.25">
      <c r="B55"/>
      <c r="C55"/>
      <c r="D55"/>
      <c r="E55"/>
      <c r="F55"/>
      <c r="G55"/>
      <c r="H55" s="94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2:39" s="144" customFormat="1" ht="15.75" customHeight="1" x14ac:dyDescent="0.25">
      <c r="B56"/>
      <c r="C56"/>
      <c r="D56"/>
      <c r="E56"/>
      <c r="F56"/>
      <c r="G56"/>
      <c r="H56" s="94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2:39" s="144" customFormat="1" ht="15.75" customHeight="1" x14ac:dyDescent="0.25">
      <c r="B57"/>
      <c r="C57"/>
      <c r="D57"/>
      <c r="E57"/>
      <c r="F57"/>
      <c r="G57"/>
      <c r="H57" s="94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2:39" s="144" customFormat="1" ht="15.75" customHeight="1" x14ac:dyDescent="0.25">
      <c r="B58"/>
      <c r="C58"/>
      <c r="D58"/>
      <c r="E58"/>
      <c r="F58"/>
      <c r="G58"/>
      <c r="H58" s="94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2:39" s="144" customFormat="1" ht="15.75" customHeight="1" x14ac:dyDescent="0.25">
      <c r="B59"/>
      <c r="C59"/>
      <c r="D59"/>
      <c r="E59"/>
      <c r="F59"/>
      <c r="G59"/>
      <c r="H59" s="94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2:39" s="144" customFormat="1" ht="15.75" customHeight="1" x14ac:dyDescent="0.25">
      <c r="B60"/>
      <c r="C60"/>
      <c r="D60"/>
      <c r="E60"/>
      <c r="F60"/>
      <c r="G60"/>
      <c r="H60" s="94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2:39" s="144" customFormat="1" ht="15.75" customHeight="1" x14ac:dyDescent="0.25">
      <c r="B61"/>
      <c r="C61"/>
      <c r="D61"/>
      <c r="E61"/>
      <c r="F61"/>
      <c r="G61"/>
      <c r="H61" s="94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2:39" s="144" customFormat="1" ht="15.75" customHeight="1" x14ac:dyDescent="0.25">
      <c r="B62"/>
      <c r="C62"/>
      <c r="D62"/>
      <c r="E62"/>
      <c r="F62"/>
      <c r="G62"/>
      <c r="H62" s="94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2:39" s="144" customFormat="1" ht="15.75" customHeight="1" x14ac:dyDescent="0.25">
      <c r="B63"/>
      <c r="C63"/>
      <c r="D63"/>
      <c r="E63"/>
      <c r="F63"/>
      <c r="G63"/>
      <c r="H63" s="94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2:39" s="144" customFormat="1" ht="15.75" customHeight="1" x14ac:dyDescent="0.25">
      <c r="B64"/>
      <c r="C64"/>
      <c r="D64"/>
      <c r="E64"/>
      <c r="F64"/>
      <c r="G64"/>
      <c r="H64" s="9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2:39" s="144" customFormat="1" ht="15.75" customHeight="1" x14ac:dyDescent="0.25">
      <c r="B65"/>
      <c r="C65"/>
      <c r="D65"/>
      <c r="E65"/>
      <c r="F65"/>
      <c r="G65"/>
      <c r="H65" s="94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2:39" s="144" customFormat="1" ht="15.75" customHeight="1" x14ac:dyDescent="0.25">
      <c r="B66"/>
      <c r="C66"/>
      <c r="D66"/>
      <c r="E66"/>
      <c r="F66"/>
      <c r="G66"/>
      <c r="H66" s="94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2:39" s="144" customFormat="1" ht="15.75" customHeight="1" x14ac:dyDescent="0.25">
      <c r="B67"/>
      <c r="C67"/>
      <c r="D67"/>
      <c r="E67"/>
      <c r="F67"/>
      <c r="G67"/>
      <c r="H67" s="94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2:39" s="144" customFormat="1" ht="15.75" customHeight="1" x14ac:dyDescent="0.25">
      <c r="B68"/>
      <c r="C68"/>
      <c r="D68"/>
      <c r="E68"/>
      <c r="F68"/>
      <c r="G68"/>
      <c r="H68" s="94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2:39" s="144" customFormat="1" ht="15.75" customHeight="1" x14ac:dyDescent="0.25">
      <c r="B69"/>
      <c r="C69"/>
      <c r="D69"/>
      <c r="E69"/>
      <c r="F69"/>
      <c r="G69"/>
      <c r="H69" s="94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2:39" s="144" customFormat="1" ht="15.75" customHeight="1" x14ac:dyDescent="0.25">
      <c r="B70"/>
      <c r="C70"/>
      <c r="D70"/>
      <c r="E70"/>
      <c r="F70"/>
      <c r="G70"/>
      <c r="H70" s="94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2:39" s="144" customFormat="1" ht="15.75" customHeight="1" x14ac:dyDescent="0.25">
      <c r="B71"/>
      <c r="C71"/>
      <c r="D71"/>
      <c r="E71"/>
      <c r="F71"/>
      <c r="G71"/>
      <c r="H71" s="94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2:39" s="144" customFormat="1" ht="15.75" customHeight="1" x14ac:dyDescent="0.25">
      <c r="B72"/>
      <c r="C72"/>
      <c r="D72"/>
      <c r="E72"/>
      <c r="F72"/>
      <c r="G72"/>
      <c r="H72" s="94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2:39" s="144" customFormat="1" ht="15.75" customHeight="1" x14ac:dyDescent="0.25">
      <c r="B73"/>
      <c r="C73"/>
      <c r="D73"/>
      <c r="E73"/>
      <c r="F73"/>
      <c r="G73"/>
      <c r="H73" s="94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2:39" s="144" customFormat="1" ht="15.75" customHeight="1" x14ac:dyDescent="0.25">
      <c r="B74"/>
      <c r="C74"/>
      <c r="D74"/>
      <c r="E74"/>
      <c r="F74"/>
      <c r="G74"/>
      <c r="H74" s="9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2:39" s="144" customFormat="1" ht="15.75" customHeight="1" x14ac:dyDescent="0.25">
      <c r="B75"/>
      <c r="C75"/>
      <c r="D75"/>
      <c r="E75"/>
      <c r="F75"/>
      <c r="G75"/>
      <c r="H75" s="94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2:39" s="144" customFormat="1" ht="15.75" customHeight="1" x14ac:dyDescent="0.25">
      <c r="B76"/>
      <c r="C76"/>
      <c r="D76"/>
      <c r="E76"/>
      <c r="F76"/>
      <c r="G76"/>
      <c r="H76" s="94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2:39" s="144" customFormat="1" ht="15.75" customHeight="1" x14ac:dyDescent="0.25">
      <c r="B77"/>
      <c r="C77"/>
      <c r="D77"/>
      <c r="E77"/>
      <c r="F77"/>
      <c r="G77"/>
      <c r="H77" s="94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2:39" s="144" customFormat="1" ht="15.75" customHeight="1" x14ac:dyDescent="0.25">
      <c r="B78"/>
      <c r="C78"/>
      <c r="D78"/>
      <c r="E78"/>
      <c r="F78"/>
      <c r="G78"/>
      <c r="H78" s="94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2:39" s="144" customFormat="1" ht="15.75" customHeight="1" x14ac:dyDescent="0.25">
      <c r="B79"/>
      <c r="C79"/>
      <c r="D79"/>
      <c r="E79"/>
      <c r="F79"/>
      <c r="G79"/>
      <c r="H79" s="94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</row>
    <row r="80" spans="2:39" s="144" customFormat="1" ht="15.75" customHeight="1" x14ac:dyDescent="0.25">
      <c r="B80"/>
      <c r="C80"/>
      <c r="D80"/>
      <c r="E80"/>
      <c r="F80"/>
      <c r="G80"/>
      <c r="H80" s="94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</row>
    <row r="81" spans="2:39" s="144" customFormat="1" ht="15.75" customHeight="1" x14ac:dyDescent="0.25">
      <c r="B81"/>
      <c r="C81"/>
      <c r="D81"/>
      <c r="E81"/>
      <c r="F81"/>
      <c r="G81"/>
      <c r="H81" s="94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 spans="2:39" s="144" customFormat="1" ht="15.75" customHeight="1" x14ac:dyDescent="0.25">
      <c r="B82"/>
      <c r="C82"/>
      <c r="D82"/>
      <c r="E82"/>
      <c r="F82"/>
      <c r="G82"/>
      <c r="H82" s="94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</row>
    <row r="83" spans="2:39" s="144" customFormat="1" ht="15.75" customHeight="1" x14ac:dyDescent="0.25">
      <c r="B83"/>
      <c r="C83"/>
      <c r="D83"/>
      <c r="E83"/>
      <c r="F83"/>
      <c r="G83"/>
      <c r="H83" s="94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2:39" s="144" customFormat="1" ht="15.75" customHeight="1" x14ac:dyDescent="0.25">
      <c r="B84"/>
      <c r="C84"/>
      <c r="D84"/>
      <c r="E84"/>
      <c r="F84"/>
      <c r="G84"/>
      <c r="H84" s="9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 spans="2:39" s="144" customFormat="1" ht="15.75" customHeight="1" x14ac:dyDescent="0.25">
      <c r="B85"/>
      <c r="C85"/>
      <c r="D85"/>
      <c r="E85"/>
      <c r="F85"/>
      <c r="G85"/>
      <c r="H85" s="94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</row>
    <row r="86" spans="2:39" s="144" customFormat="1" ht="15.75" customHeight="1" x14ac:dyDescent="0.25">
      <c r="B86"/>
      <c r="C86"/>
      <c r="D86"/>
      <c r="E86"/>
      <c r="F86"/>
      <c r="G86"/>
      <c r="H86" s="94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</row>
    <row r="87" spans="2:39" s="144" customFormat="1" ht="15.75" customHeight="1" x14ac:dyDescent="0.25">
      <c r="B87"/>
      <c r="C87"/>
      <c r="D87"/>
      <c r="E87"/>
      <c r="F87"/>
      <c r="G87"/>
      <c r="H87" s="94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</row>
    <row r="88" spans="2:39" s="144" customFormat="1" ht="15.75" customHeight="1" x14ac:dyDescent="0.25">
      <c r="B88"/>
      <c r="C88"/>
      <c r="D88"/>
      <c r="E88"/>
      <c r="F88"/>
      <c r="G88"/>
      <c r="H88" s="94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 spans="2:39" s="144" customFormat="1" ht="15.75" customHeight="1" x14ac:dyDescent="0.25">
      <c r="B89"/>
      <c r="C89"/>
      <c r="D89"/>
      <c r="E89"/>
      <c r="F89"/>
      <c r="G89"/>
      <c r="H89" s="94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</row>
    <row r="90" spans="2:39" s="144" customFormat="1" ht="15.75" customHeight="1" x14ac:dyDescent="0.25">
      <c r="B90"/>
      <c r="C90"/>
      <c r="D90"/>
      <c r="E90"/>
      <c r="F90"/>
      <c r="G90"/>
      <c r="H90" s="94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</row>
    <row r="91" spans="2:39" s="144" customFormat="1" ht="15.75" customHeight="1" x14ac:dyDescent="0.25">
      <c r="B91"/>
      <c r="C91"/>
      <c r="D91"/>
      <c r="E91"/>
      <c r="F91"/>
      <c r="G91"/>
      <c r="H91" s="94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 spans="2:39" s="144" customFormat="1" ht="15.75" customHeight="1" x14ac:dyDescent="0.25">
      <c r="B92"/>
      <c r="C92"/>
      <c r="D92"/>
      <c r="E92"/>
      <c r="F92"/>
      <c r="G92"/>
      <c r="H92" s="94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</row>
    <row r="93" spans="2:39" s="144" customFormat="1" ht="15.75" customHeight="1" x14ac:dyDescent="0.25">
      <c r="B93"/>
      <c r="C93"/>
      <c r="D93"/>
      <c r="E93"/>
      <c r="F93"/>
      <c r="G93"/>
      <c r="H93" s="94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</row>
    <row r="94" spans="2:39" s="144" customFormat="1" ht="15.75" customHeight="1" x14ac:dyDescent="0.25">
      <c r="B94"/>
      <c r="C94"/>
      <c r="D94"/>
      <c r="E94"/>
      <c r="F94"/>
      <c r="G94"/>
      <c r="H94" s="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</row>
    <row r="95" spans="2:39" s="144" customFormat="1" ht="15.75" customHeight="1" x14ac:dyDescent="0.25">
      <c r="B95"/>
      <c r="C95"/>
      <c r="D95"/>
      <c r="E95"/>
      <c r="F95"/>
      <c r="G95"/>
      <c r="H95" s="94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</row>
    <row r="96" spans="2:39" s="144" customFormat="1" ht="15.75" customHeight="1" x14ac:dyDescent="0.25">
      <c r="B96"/>
      <c r="C96"/>
      <c r="D96"/>
      <c r="E96"/>
      <c r="F96"/>
      <c r="G96"/>
      <c r="H96" s="94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</row>
    <row r="97" spans="2:39" s="144" customFormat="1" ht="15.75" customHeight="1" x14ac:dyDescent="0.25">
      <c r="B97"/>
      <c r="C97"/>
      <c r="D97"/>
      <c r="E97"/>
      <c r="F97"/>
      <c r="G97"/>
      <c r="H97" s="94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 spans="2:39" s="144" customFormat="1" ht="15.75" customHeight="1" x14ac:dyDescent="0.25">
      <c r="B98"/>
      <c r="C98"/>
      <c r="D98"/>
      <c r="E98"/>
      <c r="F98"/>
      <c r="G98"/>
      <c r="H98" s="94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2:39" s="144" customFormat="1" ht="15.75" customHeight="1" x14ac:dyDescent="0.25">
      <c r="B99"/>
      <c r="C99"/>
      <c r="D99"/>
      <c r="E99"/>
      <c r="F99"/>
      <c r="G99"/>
      <c r="H99" s="94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2:39" s="144" customFormat="1" ht="15.75" customHeight="1" x14ac:dyDescent="0.25">
      <c r="B100"/>
      <c r="C100"/>
      <c r="D100"/>
      <c r="E100"/>
      <c r="F100"/>
      <c r="G100"/>
      <c r="H100" s="94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</row>
    <row r="101" spans="2:39" s="144" customFormat="1" ht="15.75" customHeight="1" x14ac:dyDescent="0.25">
      <c r="B101"/>
      <c r="C101"/>
      <c r="D101"/>
      <c r="E101"/>
      <c r="F101"/>
      <c r="G101"/>
      <c r="H101" s="94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 spans="2:39" s="144" customFormat="1" ht="15.75" customHeight="1" x14ac:dyDescent="0.25">
      <c r="B102"/>
      <c r="C102"/>
      <c r="D102"/>
      <c r="E102"/>
      <c r="F102"/>
      <c r="G102"/>
      <c r="H102" s="94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 spans="2:39" s="144" customFormat="1" ht="15.75" customHeight="1" x14ac:dyDescent="0.25">
      <c r="B103"/>
      <c r="C103"/>
      <c r="D103"/>
      <c r="E103"/>
      <c r="F103"/>
      <c r="G103"/>
      <c r="H103" s="94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</row>
    <row r="104" spans="2:39" s="144" customFormat="1" ht="15.75" customHeight="1" x14ac:dyDescent="0.25">
      <c r="B104"/>
      <c r="C104"/>
      <c r="D104"/>
      <c r="E104"/>
      <c r="F104"/>
      <c r="G104"/>
      <c r="H104" s="9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 spans="2:39" s="144" customFormat="1" ht="15.75" customHeight="1" x14ac:dyDescent="0.25">
      <c r="B105"/>
      <c r="C105"/>
      <c r="D105"/>
      <c r="E105"/>
      <c r="F105"/>
      <c r="G105"/>
      <c r="H105" s="94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 spans="2:39" s="144" customFormat="1" ht="15.75" customHeight="1" x14ac:dyDescent="0.25">
      <c r="B106"/>
      <c r="C106"/>
      <c r="D106"/>
      <c r="E106"/>
      <c r="F106"/>
      <c r="G106"/>
      <c r="H106" s="94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</row>
    <row r="107" spans="2:39" s="144" customFormat="1" ht="15.75" customHeight="1" x14ac:dyDescent="0.25">
      <c r="B107"/>
      <c r="C107"/>
      <c r="D107"/>
      <c r="E107"/>
      <c r="F107"/>
      <c r="G107"/>
      <c r="H107" s="94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</row>
    <row r="108" spans="2:39" s="144" customFormat="1" ht="15.75" customHeight="1" x14ac:dyDescent="0.25">
      <c r="B108"/>
      <c r="C108"/>
      <c r="D108"/>
      <c r="E108"/>
      <c r="F108"/>
      <c r="G108"/>
      <c r="H108" s="94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</row>
    <row r="109" spans="2:39" s="144" customFormat="1" ht="15.75" customHeight="1" x14ac:dyDescent="0.25">
      <c r="B109"/>
      <c r="C109"/>
      <c r="D109"/>
      <c r="E109"/>
      <c r="F109"/>
      <c r="G109"/>
      <c r="H109" s="94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</row>
    <row r="110" spans="2:39" s="144" customFormat="1" ht="15.75" customHeight="1" x14ac:dyDescent="0.25">
      <c r="B110"/>
      <c r="C110"/>
      <c r="D110"/>
      <c r="E110"/>
      <c r="F110"/>
      <c r="G110"/>
      <c r="H110" s="94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2:39" s="144" customFormat="1" ht="15.75" customHeight="1" x14ac:dyDescent="0.25">
      <c r="B111"/>
      <c r="C111"/>
      <c r="D111"/>
      <c r="E111"/>
      <c r="F111"/>
      <c r="G111"/>
      <c r="H111" s="94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2:39" s="144" customFormat="1" ht="15.75" customHeight="1" x14ac:dyDescent="0.25">
      <c r="B112"/>
      <c r="C112"/>
      <c r="D112"/>
      <c r="E112"/>
      <c r="F112"/>
      <c r="G112"/>
      <c r="H112" s="94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2:39" s="144" customFormat="1" ht="15.75" customHeight="1" x14ac:dyDescent="0.25">
      <c r="B113"/>
      <c r="C113"/>
      <c r="D113"/>
      <c r="E113"/>
      <c r="F113"/>
      <c r="G113"/>
      <c r="H113" s="94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2:39" s="144" customFormat="1" ht="15.75" customHeight="1" x14ac:dyDescent="0.25">
      <c r="B114"/>
      <c r="C114"/>
      <c r="D114"/>
      <c r="E114"/>
      <c r="F114"/>
      <c r="G114"/>
      <c r="H114" s="9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2:39" s="144" customFormat="1" ht="15.75" customHeight="1" x14ac:dyDescent="0.25">
      <c r="B115"/>
      <c r="C115"/>
      <c r="D115"/>
      <c r="E115"/>
      <c r="F115"/>
      <c r="G115"/>
      <c r="H115" s="94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2:39" s="144" customFormat="1" ht="15.75" customHeight="1" x14ac:dyDescent="0.25">
      <c r="B116"/>
      <c r="C116"/>
      <c r="D116"/>
      <c r="E116"/>
      <c r="F116"/>
      <c r="G116"/>
      <c r="H116" s="94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2:39" s="144" customFormat="1" ht="15.75" customHeight="1" x14ac:dyDescent="0.25">
      <c r="B117"/>
      <c r="C117"/>
      <c r="D117"/>
      <c r="E117"/>
      <c r="F117"/>
      <c r="G117"/>
      <c r="H117" s="94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2:39" s="144" customFormat="1" ht="15.75" customHeight="1" x14ac:dyDescent="0.25">
      <c r="B118"/>
      <c r="C118"/>
      <c r="D118"/>
      <c r="E118"/>
      <c r="F118"/>
      <c r="G118"/>
      <c r="H118" s="94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2:39" s="144" customFormat="1" ht="15.75" customHeight="1" x14ac:dyDescent="0.25">
      <c r="B119"/>
      <c r="C119"/>
      <c r="D119"/>
      <c r="E119"/>
      <c r="F119"/>
      <c r="G119"/>
      <c r="H119" s="94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2:39" s="144" customFormat="1" ht="15.75" customHeight="1" x14ac:dyDescent="0.25">
      <c r="B120"/>
      <c r="C120"/>
      <c r="D120"/>
      <c r="E120"/>
      <c r="F120"/>
      <c r="G120"/>
      <c r="H120" s="94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2:39" s="144" customFormat="1" ht="15.75" customHeight="1" x14ac:dyDescent="0.25">
      <c r="B121"/>
      <c r="C121"/>
      <c r="D121"/>
      <c r="E121"/>
      <c r="F121"/>
      <c r="G121"/>
      <c r="H121" s="94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2:39" s="144" customFormat="1" ht="15.75" customHeight="1" x14ac:dyDescent="0.25">
      <c r="B122"/>
      <c r="C122"/>
      <c r="D122"/>
      <c r="E122"/>
      <c r="F122"/>
      <c r="G122"/>
      <c r="H122" s="94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2:39" s="144" customFormat="1" ht="15.75" customHeight="1" x14ac:dyDescent="0.25">
      <c r="B123"/>
      <c r="C123"/>
      <c r="D123"/>
      <c r="E123"/>
      <c r="F123"/>
      <c r="G123"/>
      <c r="H123" s="94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2:39" s="144" customFormat="1" ht="15.75" customHeight="1" x14ac:dyDescent="0.25">
      <c r="B124"/>
      <c r="C124"/>
      <c r="D124"/>
      <c r="E124"/>
      <c r="F124"/>
      <c r="G124"/>
      <c r="H124" s="9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2:39" s="144" customFormat="1" ht="15.75" customHeight="1" x14ac:dyDescent="0.25">
      <c r="B125"/>
      <c r="C125"/>
      <c r="D125"/>
      <c r="E125"/>
      <c r="F125"/>
      <c r="G125"/>
      <c r="H125" s="94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26" spans="2:39" s="144" customFormat="1" ht="15.75" customHeight="1" x14ac:dyDescent="0.25">
      <c r="B126"/>
      <c r="C126"/>
      <c r="D126"/>
      <c r="E126"/>
      <c r="F126"/>
      <c r="G126"/>
      <c r="H126" s="94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 spans="2:39" s="144" customFormat="1" ht="15.75" customHeight="1" x14ac:dyDescent="0.25">
      <c r="B127"/>
      <c r="C127"/>
      <c r="D127"/>
      <c r="E127"/>
      <c r="F127"/>
      <c r="G127"/>
      <c r="H127" s="94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 spans="2:39" s="144" customFormat="1" ht="15.75" customHeight="1" x14ac:dyDescent="0.25">
      <c r="B128"/>
      <c r="C128"/>
      <c r="D128"/>
      <c r="E128"/>
      <c r="F128"/>
      <c r="G128"/>
      <c r="H128" s="94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</row>
    <row r="129" spans="2:39" s="144" customFormat="1" ht="15.75" customHeight="1" x14ac:dyDescent="0.25">
      <c r="B129"/>
      <c r="C129"/>
      <c r="D129"/>
      <c r="E129"/>
      <c r="F129"/>
      <c r="G129"/>
      <c r="H129" s="94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 spans="2:39" s="144" customFormat="1" ht="15.75" customHeight="1" x14ac:dyDescent="0.25">
      <c r="B130"/>
      <c r="C130"/>
      <c r="D130"/>
      <c r="E130"/>
      <c r="F130"/>
      <c r="G130"/>
      <c r="H130" s="94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 spans="2:39" s="144" customFormat="1" ht="15.75" customHeight="1" x14ac:dyDescent="0.25">
      <c r="B131"/>
      <c r="C131"/>
      <c r="D131"/>
      <c r="E131"/>
      <c r="F131"/>
      <c r="G131"/>
      <c r="H131" s="94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</row>
    <row r="132" spans="2:39" s="144" customFormat="1" ht="15.75" customHeight="1" x14ac:dyDescent="0.25">
      <c r="B132"/>
      <c r="C132"/>
      <c r="D132"/>
      <c r="E132"/>
      <c r="F132"/>
      <c r="G132"/>
      <c r="H132" s="94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</row>
    <row r="133" spans="2:39" s="144" customFormat="1" ht="15.75" customHeight="1" x14ac:dyDescent="0.25">
      <c r="B133"/>
      <c r="C133"/>
      <c r="D133"/>
      <c r="E133"/>
      <c r="F133"/>
      <c r="G133"/>
      <c r="H133" s="94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</row>
    <row r="134" spans="2:39" s="144" customFormat="1" ht="15.75" customHeight="1" x14ac:dyDescent="0.25">
      <c r="B134"/>
      <c r="C134"/>
      <c r="D134"/>
      <c r="E134"/>
      <c r="F134"/>
      <c r="G134"/>
      <c r="H134" s="9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</row>
    <row r="135" spans="2:39" s="144" customFormat="1" ht="15.75" customHeight="1" x14ac:dyDescent="0.25">
      <c r="B135"/>
      <c r="C135"/>
      <c r="D135"/>
      <c r="E135"/>
      <c r="F135"/>
      <c r="G135"/>
      <c r="H135" s="94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 spans="2:39" s="144" customFormat="1" ht="15.75" customHeight="1" x14ac:dyDescent="0.25">
      <c r="B136"/>
      <c r="C136"/>
      <c r="D136"/>
      <c r="E136"/>
      <c r="F136"/>
      <c r="G136"/>
      <c r="H136" s="94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2:39" s="144" customFormat="1" ht="15.75" customHeight="1" x14ac:dyDescent="0.25">
      <c r="B137"/>
      <c r="C137"/>
      <c r="D137"/>
      <c r="E137"/>
      <c r="F137"/>
      <c r="G137"/>
      <c r="H137" s="94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2:39" s="144" customFormat="1" ht="15.75" customHeight="1" x14ac:dyDescent="0.25">
      <c r="B138"/>
      <c r="C138"/>
      <c r="D138"/>
      <c r="E138"/>
      <c r="F138"/>
      <c r="G138"/>
      <c r="H138" s="94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2:39" s="144" customFormat="1" ht="15.75" customHeight="1" x14ac:dyDescent="0.25">
      <c r="B139"/>
      <c r="C139"/>
      <c r="D139"/>
      <c r="E139"/>
      <c r="F139"/>
      <c r="G139"/>
      <c r="H139" s="94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2:39" s="144" customFormat="1" ht="15.75" customHeight="1" x14ac:dyDescent="0.25">
      <c r="B140"/>
      <c r="C140"/>
      <c r="D140"/>
      <c r="E140"/>
      <c r="F140"/>
      <c r="G140"/>
      <c r="H140" s="94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2:39" s="144" customFormat="1" ht="15.75" customHeight="1" x14ac:dyDescent="0.25">
      <c r="B141"/>
      <c r="C141"/>
      <c r="D141"/>
      <c r="E141"/>
      <c r="F141"/>
      <c r="G141"/>
      <c r="H141" s="94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2:39" s="144" customFormat="1" ht="15.75" customHeight="1" x14ac:dyDescent="0.25">
      <c r="B142"/>
      <c r="C142"/>
      <c r="D142"/>
      <c r="E142"/>
      <c r="F142"/>
      <c r="G142"/>
      <c r="H142" s="94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2:39" s="144" customFormat="1" ht="15.75" customHeight="1" x14ac:dyDescent="0.25">
      <c r="B143"/>
      <c r="C143"/>
      <c r="D143"/>
      <c r="E143"/>
      <c r="F143"/>
      <c r="G143"/>
      <c r="H143" s="94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2:39" s="144" customFormat="1" ht="15.75" customHeight="1" x14ac:dyDescent="0.25">
      <c r="B144"/>
      <c r="C144"/>
      <c r="D144"/>
      <c r="E144"/>
      <c r="F144"/>
      <c r="G144"/>
      <c r="H144" s="9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2:39" s="144" customFormat="1" ht="15.75" customHeight="1" x14ac:dyDescent="0.25">
      <c r="B145"/>
      <c r="C145"/>
      <c r="D145"/>
      <c r="E145"/>
      <c r="F145"/>
      <c r="G145"/>
      <c r="H145" s="94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2:39" s="144" customFormat="1" ht="15.75" customHeight="1" x14ac:dyDescent="0.25">
      <c r="B146"/>
      <c r="C146"/>
      <c r="D146"/>
      <c r="E146"/>
      <c r="F146"/>
      <c r="G146"/>
      <c r="H146" s="94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2:39" s="144" customFormat="1" ht="15.75" customHeight="1" x14ac:dyDescent="0.25">
      <c r="B147"/>
      <c r="C147"/>
      <c r="D147"/>
      <c r="E147"/>
      <c r="F147"/>
      <c r="G147"/>
      <c r="H147" s="94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2:39" s="144" customFormat="1" ht="15.75" customHeight="1" x14ac:dyDescent="0.25">
      <c r="B148"/>
      <c r="C148"/>
      <c r="D148"/>
      <c r="E148"/>
      <c r="F148"/>
      <c r="G148"/>
      <c r="H148" s="94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2:39" s="144" customFormat="1" ht="15.75" customHeight="1" x14ac:dyDescent="0.25">
      <c r="B149"/>
      <c r="C149"/>
      <c r="D149"/>
      <c r="E149"/>
      <c r="F149"/>
      <c r="G149"/>
      <c r="H149" s="94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2:39" s="144" customFormat="1" ht="15.75" customHeight="1" x14ac:dyDescent="0.25">
      <c r="B150"/>
      <c r="C150"/>
      <c r="D150"/>
      <c r="E150"/>
      <c r="F150"/>
      <c r="G150"/>
      <c r="H150" s="94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2:39" s="144" customFormat="1" ht="15.75" customHeight="1" x14ac:dyDescent="0.25">
      <c r="B151"/>
      <c r="C151"/>
      <c r="D151"/>
      <c r="E151"/>
      <c r="F151"/>
      <c r="G151"/>
      <c r="H151" s="94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2:39" s="144" customFormat="1" ht="15.75" customHeight="1" x14ac:dyDescent="0.25">
      <c r="B152"/>
      <c r="C152"/>
      <c r="D152"/>
      <c r="E152"/>
      <c r="F152"/>
      <c r="G152"/>
      <c r="H152" s="94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2:39" s="144" customFormat="1" ht="15.75" customHeight="1" x14ac:dyDescent="0.25">
      <c r="B153"/>
      <c r="C153"/>
      <c r="D153"/>
      <c r="E153"/>
      <c r="F153"/>
      <c r="G153"/>
      <c r="H153" s="94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2:39" s="144" customFormat="1" ht="15.75" customHeight="1" x14ac:dyDescent="0.25">
      <c r="B154"/>
      <c r="C154"/>
      <c r="D154"/>
      <c r="E154"/>
      <c r="F154"/>
      <c r="G154"/>
      <c r="H154" s="9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2:39" s="144" customFormat="1" ht="15.75" customHeight="1" x14ac:dyDescent="0.25">
      <c r="B155"/>
      <c r="C155"/>
      <c r="D155"/>
      <c r="E155"/>
      <c r="F155"/>
      <c r="G155"/>
      <c r="H155" s="94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2:39" s="144" customFormat="1" ht="15.75" customHeight="1" x14ac:dyDescent="0.25">
      <c r="B156"/>
      <c r="C156"/>
      <c r="D156"/>
      <c r="E156"/>
      <c r="F156"/>
      <c r="G156"/>
      <c r="H156" s="94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2:39" s="144" customFormat="1" ht="15.75" customHeight="1" x14ac:dyDescent="0.25">
      <c r="B157"/>
      <c r="C157"/>
      <c r="D157"/>
      <c r="E157"/>
      <c r="F157"/>
      <c r="G157"/>
      <c r="H157" s="94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2:39" s="144" customFormat="1" ht="15.75" customHeight="1" x14ac:dyDescent="0.25">
      <c r="B158"/>
      <c r="C158"/>
      <c r="D158"/>
      <c r="E158"/>
      <c r="F158"/>
      <c r="G158"/>
      <c r="H158" s="94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2:39" s="144" customFormat="1" ht="15.75" customHeight="1" x14ac:dyDescent="0.25">
      <c r="B159"/>
      <c r="C159"/>
      <c r="D159"/>
      <c r="E159"/>
      <c r="F159"/>
      <c r="G159"/>
      <c r="H159" s="94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2:39" s="144" customFormat="1" ht="15.75" customHeight="1" x14ac:dyDescent="0.25">
      <c r="B160"/>
      <c r="C160"/>
      <c r="D160"/>
      <c r="E160"/>
      <c r="F160"/>
      <c r="G160"/>
      <c r="H160" s="94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2:39" s="144" customFormat="1" ht="15.75" customHeight="1" x14ac:dyDescent="0.25">
      <c r="B161"/>
      <c r="C161"/>
      <c r="D161"/>
      <c r="E161"/>
      <c r="F161"/>
      <c r="G161"/>
      <c r="H161" s="94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2:39" s="144" customFormat="1" ht="15.75" customHeight="1" x14ac:dyDescent="0.25">
      <c r="B162"/>
      <c r="C162"/>
      <c r="D162"/>
      <c r="E162"/>
      <c r="F162"/>
      <c r="G162"/>
      <c r="H162" s="94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2:39" s="144" customFormat="1" ht="15.75" customHeight="1" x14ac:dyDescent="0.25">
      <c r="B163"/>
      <c r="C163"/>
      <c r="D163"/>
      <c r="E163"/>
      <c r="F163"/>
      <c r="G163"/>
      <c r="H163" s="94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2:39" s="144" customFormat="1" ht="15.75" customHeight="1" x14ac:dyDescent="0.25">
      <c r="B164"/>
      <c r="C164"/>
      <c r="D164"/>
      <c r="E164"/>
      <c r="F164"/>
      <c r="G164"/>
      <c r="H164" s="9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2:39" s="144" customFormat="1" ht="15.75" customHeight="1" x14ac:dyDescent="0.25">
      <c r="B165"/>
      <c r="C165"/>
      <c r="D165"/>
      <c r="E165"/>
      <c r="F165"/>
      <c r="G165"/>
      <c r="H165" s="94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2:39" s="144" customFormat="1" ht="15.75" customHeight="1" x14ac:dyDescent="0.25">
      <c r="B166"/>
      <c r="C166"/>
      <c r="D166"/>
      <c r="E166"/>
      <c r="F166"/>
      <c r="G166"/>
      <c r="H166" s="94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2:39" s="144" customFormat="1" ht="15.75" customHeight="1" x14ac:dyDescent="0.25">
      <c r="B167"/>
      <c r="C167"/>
      <c r="D167"/>
      <c r="E167"/>
      <c r="F167"/>
      <c r="G167"/>
      <c r="H167" s="94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2:39" s="144" customFormat="1" ht="15.75" customHeight="1" x14ac:dyDescent="0.25">
      <c r="B168"/>
      <c r="C168"/>
      <c r="D168"/>
      <c r="E168"/>
      <c r="F168"/>
      <c r="G168"/>
      <c r="H168" s="94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2:39" s="144" customFormat="1" ht="15.75" customHeight="1" x14ac:dyDescent="0.25">
      <c r="B169"/>
      <c r="C169"/>
      <c r="D169"/>
      <c r="E169"/>
      <c r="F169"/>
      <c r="G169"/>
      <c r="H169" s="94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2:39" s="144" customFormat="1" ht="15.75" customHeight="1" x14ac:dyDescent="0.25">
      <c r="B170"/>
      <c r="C170"/>
      <c r="D170"/>
      <c r="E170"/>
      <c r="F170"/>
      <c r="G170"/>
      <c r="H170" s="94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2:39" s="144" customFormat="1" ht="15.75" customHeight="1" x14ac:dyDescent="0.25">
      <c r="B171"/>
      <c r="C171"/>
      <c r="D171"/>
      <c r="E171"/>
      <c r="F171"/>
      <c r="G171"/>
      <c r="H171" s="94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2:39" s="144" customFormat="1" ht="15.75" customHeight="1" x14ac:dyDescent="0.25">
      <c r="B172"/>
      <c r="C172"/>
      <c r="D172"/>
      <c r="E172"/>
      <c r="F172"/>
      <c r="G172"/>
      <c r="H172" s="94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2:39" s="144" customFormat="1" ht="15.75" customHeight="1" x14ac:dyDescent="0.25">
      <c r="B173"/>
      <c r="C173"/>
      <c r="D173"/>
      <c r="E173"/>
      <c r="F173"/>
      <c r="G173"/>
      <c r="H173" s="94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2:39" s="144" customFormat="1" ht="15.75" customHeight="1" x14ac:dyDescent="0.25">
      <c r="B174"/>
      <c r="C174"/>
      <c r="D174"/>
      <c r="E174"/>
      <c r="F174"/>
      <c r="G174"/>
      <c r="H174" s="9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2:39" s="144" customFormat="1" ht="15.75" customHeight="1" x14ac:dyDescent="0.25">
      <c r="B175"/>
      <c r="C175"/>
      <c r="D175"/>
      <c r="E175"/>
      <c r="F175"/>
      <c r="G175"/>
      <c r="H175" s="94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 spans="2:39" s="144" customFormat="1" ht="15.75" customHeight="1" x14ac:dyDescent="0.25">
      <c r="B176"/>
      <c r="C176"/>
      <c r="D176"/>
      <c r="E176"/>
      <c r="F176"/>
      <c r="G176"/>
      <c r="H176" s="94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 spans="2:39" s="144" customFormat="1" ht="15.75" customHeight="1" x14ac:dyDescent="0.25">
      <c r="B177"/>
      <c r="C177"/>
      <c r="D177"/>
      <c r="E177"/>
      <c r="F177"/>
      <c r="G177"/>
      <c r="H177" s="94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</row>
    <row r="178" spans="2:39" s="144" customFormat="1" ht="15.75" customHeight="1" x14ac:dyDescent="0.25">
      <c r="B178"/>
      <c r="C178"/>
      <c r="D178"/>
      <c r="E178"/>
      <c r="F178"/>
      <c r="G178"/>
      <c r="H178" s="94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</row>
    <row r="179" spans="2:39" s="144" customFormat="1" ht="15.75" customHeight="1" x14ac:dyDescent="0.25">
      <c r="B179"/>
      <c r="C179"/>
      <c r="D179"/>
      <c r="E179"/>
      <c r="F179"/>
      <c r="G179"/>
      <c r="H179" s="94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 spans="2:39" s="144" customFormat="1" ht="15.75" customHeight="1" x14ac:dyDescent="0.25">
      <c r="B180"/>
      <c r="C180"/>
      <c r="D180"/>
      <c r="E180"/>
      <c r="F180"/>
      <c r="G180"/>
      <c r="H180" s="94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 spans="2:39" s="144" customFormat="1" ht="15.75" customHeight="1" x14ac:dyDescent="0.25">
      <c r="B181"/>
      <c r="C181"/>
      <c r="D181"/>
      <c r="E181"/>
      <c r="F181"/>
      <c r="G181"/>
      <c r="H181" s="94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</row>
    <row r="182" spans="2:39" s="144" customFormat="1" ht="15.75" customHeight="1" x14ac:dyDescent="0.25">
      <c r="B182"/>
      <c r="C182"/>
      <c r="D182"/>
      <c r="E182"/>
      <c r="F182"/>
      <c r="G182"/>
      <c r="H182" s="94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 spans="2:39" s="144" customFormat="1" ht="15.75" customHeight="1" x14ac:dyDescent="0.25">
      <c r="B183"/>
      <c r="C183"/>
      <c r="D183"/>
      <c r="E183"/>
      <c r="F183"/>
      <c r="G183"/>
      <c r="H183" s="94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 spans="2:39" s="144" customFormat="1" ht="15.75" customHeight="1" x14ac:dyDescent="0.25">
      <c r="B184"/>
      <c r="C184"/>
      <c r="D184"/>
      <c r="E184"/>
      <c r="F184"/>
      <c r="G184"/>
      <c r="H184" s="9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</row>
    <row r="185" spans="2:39" s="144" customFormat="1" ht="15.75" customHeight="1" x14ac:dyDescent="0.25">
      <c r="B185"/>
      <c r="C185"/>
      <c r="D185"/>
      <c r="E185"/>
      <c r="F185"/>
      <c r="G185"/>
      <c r="H185" s="94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 spans="2:39" s="144" customFormat="1" ht="15.75" customHeight="1" x14ac:dyDescent="0.25">
      <c r="B186"/>
      <c r="C186"/>
      <c r="D186"/>
      <c r="E186"/>
      <c r="F186"/>
      <c r="G186"/>
      <c r="H186" s="94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 spans="2:39" s="144" customFormat="1" ht="15.75" customHeight="1" x14ac:dyDescent="0.25">
      <c r="B187"/>
      <c r="C187"/>
      <c r="D187"/>
      <c r="E187"/>
      <c r="F187"/>
      <c r="G187"/>
      <c r="H187" s="94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</row>
    <row r="188" spans="2:39" s="144" customFormat="1" ht="15.75" customHeight="1" x14ac:dyDescent="0.25">
      <c r="B188"/>
      <c r="C188"/>
      <c r="D188"/>
      <c r="E188"/>
      <c r="F188"/>
      <c r="G188"/>
      <c r="H188" s="94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 spans="2:39" s="144" customFormat="1" ht="15.75" customHeight="1" x14ac:dyDescent="0.25">
      <c r="B189"/>
      <c r="C189"/>
      <c r="D189"/>
      <c r="E189"/>
      <c r="F189"/>
      <c r="G189"/>
      <c r="H189" s="94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 spans="2:39" s="144" customFormat="1" ht="15.75" customHeight="1" x14ac:dyDescent="0.25">
      <c r="B190"/>
      <c r="C190"/>
      <c r="D190"/>
      <c r="E190"/>
      <c r="F190"/>
      <c r="G190"/>
      <c r="H190" s="94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</row>
    <row r="191" spans="2:39" s="144" customFormat="1" ht="15.75" customHeight="1" x14ac:dyDescent="0.25">
      <c r="B191"/>
      <c r="C191"/>
      <c r="D191"/>
      <c r="E191"/>
      <c r="F191"/>
      <c r="G191"/>
      <c r="H191" s="94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</row>
    <row r="192" spans="2:39" s="144" customFormat="1" ht="15.75" customHeight="1" x14ac:dyDescent="0.25">
      <c r="B192"/>
      <c r="C192"/>
      <c r="D192"/>
      <c r="E192"/>
      <c r="F192"/>
      <c r="G192"/>
      <c r="H192" s="94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 spans="2:39" s="144" customFormat="1" ht="15.75" customHeight="1" x14ac:dyDescent="0.25">
      <c r="B193"/>
      <c r="C193"/>
      <c r="D193"/>
      <c r="E193"/>
      <c r="F193"/>
      <c r="G193"/>
      <c r="H193" s="94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 spans="2:39" s="144" customFormat="1" ht="15.75" customHeight="1" x14ac:dyDescent="0.25">
      <c r="B194"/>
      <c r="C194"/>
      <c r="D194"/>
      <c r="E194"/>
      <c r="F194"/>
      <c r="G194"/>
      <c r="H194" s="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</row>
    <row r="195" spans="2:39" s="144" customFormat="1" ht="15.75" customHeight="1" x14ac:dyDescent="0.25">
      <c r="B195"/>
      <c r="C195"/>
      <c r="D195"/>
      <c r="E195"/>
      <c r="F195"/>
      <c r="G195"/>
      <c r="H195" s="94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 spans="2:39" s="144" customFormat="1" ht="15.75" customHeight="1" x14ac:dyDescent="0.25">
      <c r="B196"/>
      <c r="C196"/>
      <c r="D196"/>
      <c r="E196"/>
      <c r="F196"/>
      <c r="G196"/>
      <c r="H196" s="94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 spans="2:39" s="144" customFormat="1" ht="15.75" customHeight="1" x14ac:dyDescent="0.25">
      <c r="B197"/>
      <c r="C197"/>
      <c r="D197"/>
      <c r="E197"/>
      <c r="F197"/>
      <c r="G197"/>
      <c r="H197" s="94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</row>
    <row r="198" spans="2:39" s="144" customFormat="1" ht="15.75" customHeight="1" x14ac:dyDescent="0.25">
      <c r="B198"/>
      <c r="C198"/>
      <c r="D198"/>
      <c r="E198"/>
      <c r="F198"/>
      <c r="G198"/>
      <c r="H198" s="94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 spans="2:39" s="144" customFormat="1" ht="15.75" customHeight="1" x14ac:dyDescent="0.25">
      <c r="B199"/>
      <c r="C199"/>
      <c r="D199"/>
      <c r="E199"/>
      <c r="F199"/>
      <c r="G199"/>
      <c r="H199" s="94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 spans="2:39" s="144" customFormat="1" ht="15.75" customHeight="1" x14ac:dyDescent="0.25">
      <c r="B200"/>
      <c r="C200"/>
      <c r="D200"/>
      <c r="E200"/>
      <c r="F200"/>
      <c r="G200"/>
      <c r="H200" s="94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</row>
    <row r="201" spans="2:39" s="144" customFormat="1" ht="15.75" customHeight="1" x14ac:dyDescent="0.25">
      <c r="B201"/>
      <c r="C201"/>
      <c r="D201"/>
      <c r="E201"/>
      <c r="F201"/>
      <c r="G201"/>
      <c r="H201" s="94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 spans="2:39" s="144" customFormat="1" ht="15.75" customHeight="1" x14ac:dyDescent="0.25">
      <c r="B202"/>
      <c r="C202"/>
      <c r="D202"/>
      <c r="E202"/>
      <c r="F202"/>
      <c r="G202"/>
      <c r="H202" s="94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 spans="2:39" s="144" customFormat="1" ht="15.75" customHeight="1" x14ac:dyDescent="0.25">
      <c r="B203"/>
      <c r="C203"/>
      <c r="D203"/>
      <c r="E203"/>
      <c r="F203"/>
      <c r="G203"/>
      <c r="H203" s="94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</row>
    <row r="204" spans="2:39" s="144" customFormat="1" ht="15.75" customHeight="1" x14ac:dyDescent="0.25">
      <c r="B204"/>
      <c r="C204"/>
      <c r="D204"/>
      <c r="E204"/>
      <c r="F204"/>
      <c r="G204"/>
      <c r="H204" s="9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</row>
    <row r="205" spans="2:39" s="144" customFormat="1" ht="15.75" customHeight="1" x14ac:dyDescent="0.25">
      <c r="B205"/>
      <c r="C205"/>
      <c r="D205"/>
      <c r="E205"/>
      <c r="F205"/>
      <c r="G205"/>
      <c r="H205" s="94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</row>
    <row r="206" spans="2:39" s="144" customFormat="1" ht="15.75" customHeight="1" x14ac:dyDescent="0.25">
      <c r="B206"/>
      <c r="C206"/>
      <c r="D206"/>
      <c r="E206"/>
      <c r="F206"/>
      <c r="G206"/>
      <c r="H206" s="94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</row>
    <row r="207" spans="2:39" s="144" customFormat="1" ht="15.75" customHeight="1" x14ac:dyDescent="0.25">
      <c r="B207"/>
      <c r="C207"/>
      <c r="D207"/>
      <c r="E207"/>
      <c r="F207"/>
      <c r="G207"/>
      <c r="H207" s="94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</row>
    <row r="208" spans="2:39" s="144" customFormat="1" ht="15.75" customHeight="1" x14ac:dyDescent="0.25">
      <c r="B208"/>
      <c r="C208"/>
      <c r="D208"/>
      <c r="E208"/>
      <c r="F208"/>
      <c r="G208"/>
      <c r="H208" s="94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</row>
    <row r="209" spans="2:39" s="144" customFormat="1" ht="15.75" customHeight="1" x14ac:dyDescent="0.25">
      <c r="B209"/>
      <c r="C209"/>
      <c r="D209"/>
      <c r="E209"/>
      <c r="F209"/>
      <c r="G209"/>
      <c r="H209" s="94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</row>
    <row r="210" spans="2:39" s="144" customFormat="1" ht="15.75" customHeight="1" x14ac:dyDescent="0.25">
      <c r="B210"/>
      <c r="C210"/>
      <c r="D210"/>
      <c r="E210"/>
      <c r="F210"/>
      <c r="G210"/>
      <c r="H210" s="94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</row>
    <row r="211" spans="2:39" s="144" customFormat="1" ht="15.75" customHeight="1" x14ac:dyDescent="0.25">
      <c r="B211"/>
      <c r="C211"/>
      <c r="D211"/>
      <c r="E211"/>
      <c r="F211"/>
      <c r="G211"/>
      <c r="H211" s="94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</row>
    <row r="212" spans="2:39" s="144" customFormat="1" ht="15.75" customHeight="1" x14ac:dyDescent="0.25">
      <c r="B212"/>
      <c r="C212"/>
      <c r="D212"/>
      <c r="E212"/>
      <c r="F212"/>
      <c r="G212"/>
      <c r="H212" s="94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</row>
    <row r="213" spans="2:39" s="144" customFormat="1" ht="15.75" customHeight="1" x14ac:dyDescent="0.25">
      <c r="B213"/>
      <c r="C213"/>
      <c r="D213"/>
      <c r="E213"/>
      <c r="F213"/>
      <c r="G213"/>
      <c r="H213" s="94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</row>
    <row r="214" spans="2:39" s="144" customFormat="1" ht="15.75" customHeight="1" x14ac:dyDescent="0.25">
      <c r="B214"/>
      <c r="C214"/>
      <c r="D214"/>
      <c r="E214"/>
      <c r="F214"/>
      <c r="G214"/>
      <c r="H214" s="9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 spans="2:39" s="144" customFormat="1" ht="15.75" customHeight="1" x14ac:dyDescent="0.25">
      <c r="B215"/>
      <c r="C215"/>
      <c r="D215"/>
      <c r="E215"/>
      <c r="F215"/>
      <c r="G215"/>
      <c r="H215" s="94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2:39" s="144" customFormat="1" ht="15.75" customHeight="1" x14ac:dyDescent="0.25">
      <c r="B216"/>
      <c r="C216"/>
      <c r="D216"/>
      <c r="E216"/>
      <c r="F216"/>
      <c r="G216"/>
      <c r="H216" s="94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2:39" s="144" customFormat="1" ht="15.75" customHeight="1" x14ac:dyDescent="0.25">
      <c r="B217"/>
      <c r="C217"/>
      <c r="D217"/>
      <c r="E217"/>
      <c r="F217"/>
      <c r="G217"/>
      <c r="H217" s="94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2:39" s="144" customFormat="1" ht="15.75" customHeight="1" x14ac:dyDescent="0.25">
      <c r="B218"/>
      <c r="C218"/>
      <c r="D218"/>
      <c r="E218"/>
      <c r="F218"/>
      <c r="G218"/>
      <c r="H218" s="94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2:39" s="144" customFormat="1" ht="15.75" customHeight="1" x14ac:dyDescent="0.25">
      <c r="B219"/>
      <c r="C219"/>
      <c r="D219"/>
      <c r="E219"/>
      <c r="F219"/>
      <c r="G219"/>
      <c r="H219" s="94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2:39" s="144" customFormat="1" ht="15.75" customHeight="1" x14ac:dyDescent="0.25">
      <c r="B220"/>
      <c r="C220"/>
      <c r="D220"/>
      <c r="E220"/>
      <c r="F220"/>
      <c r="G220"/>
      <c r="H220" s="94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2:39" s="144" customFormat="1" ht="15.75" customHeight="1" x14ac:dyDescent="0.25">
      <c r="B221"/>
      <c r="C221"/>
      <c r="D221"/>
      <c r="E221"/>
      <c r="F221"/>
      <c r="G221"/>
      <c r="H221" s="94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2:39" s="144" customFormat="1" ht="15.75" customHeight="1" x14ac:dyDescent="0.25">
      <c r="B222"/>
      <c r="C222"/>
      <c r="D222"/>
      <c r="E222"/>
      <c r="F222"/>
      <c r="G222"/>
      <c r="H222" s="94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2:39" s="144" customFormat="1" ht="15.75" customHeight="1" x14ac:dyDescent="0.25">
      <c r="B223"/>
      <c r="C223"/>
      <c r="D223"/>
      <c r="E223"/>
      <c r="F223"/>
      <c r="G223"/>
      <c r="H223" s="94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2:39" s="144" customFormat="1" ht="15.75" customHeight="1" x14ac:dyDescent="0.25">
      <c r="B224"/>
      <c r="C224"/>
      <c r="D224"/>
      <c r="E224"/>
      <c r="F224"/>
      <c r="G224"/>
      <c r="H224" s="9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2:39" s="144" customFormat="1" ht="15.75" customHeight="1" x14ac:dyDescent="0.25">
      <c r="B225"/>
      <c r="C225"/>
      <c r="D225"/>
      <c r="E225"/>
      <c r="F225"/>
      <c r="G225"/>
      <c r="H225" s="94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2:39" s="144" customFormat="1" ht="15.75" customHeight="1" x14ac:dyDescent="0.25">
      <c r="B226"/>
      <c r="C226"/>
      <c r="D226"/>
      <c r="E226"/>
      <c r="F226"/>
      <c r="G226"/>
      <c r="H226" s="94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2:39" s="144" customFormat="1" ht="15.75" customHeight="1" x14ac:dyDescent="0.25">
      <c r="B227"/>
      <c r="C227"/>
      <c r="D227"/>
      <c r="E227"/>
      <c r="F227"/>
      <c r="G227"/>
      <c r="H227" s="94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2:39" s="144" customFormat="1" ht="15.75" customHeight="1" x14ac:dyDescent="0.25">
      <c r="B228"/>
      <c r="C228"/>
      <c r="D228"/>
      <c r="E228"/>
      <c r="F228"/>
      <c r="G228"/>
      <c r="H228" s="94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2:39" s="144" customFormat="1" ht="15.75" customHeight="1" x14ac:dyDescent="0.25">
      <c r="B229"/>
      <c r="C229"/>
      <c r="D229"/>
      <c r="E229"/>
      <c r="F229"/>
      <c r="G229"/>
      <c r="H229" s="94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2:39" s="144" customFormat="1" ht="15.75" customHeight="1" x14ac:dyDescent="0.25">
      <c r="B230"/>
      <c r="C230"/>
      <c r="D230"/>
      <c r="E230"/>
      <c r="F230"/>
      <c r="G230"/>
      <c r="H230" s="94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2:39" s="144" customFormat="1" ht="15.75" customHeight="1" x14ac:dyDescent="0.25">
      <c r="B231"/>
      <c r="C231"/>
      <c r="D231"/>
      <c r="E231"/>
      <c r="F231"/>
      <c r="G231"/>
      <c r="H231" s="94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2:39" s="144" customFormat="1" ht="15.75" customHeight="1" x14ac:dyDescent="0.25">
      <c r="B232"/>
      <c r="C232"/>
      <c r="D232"/>
      <c r="E232"/>
      <c r="F232"/>
      <c r="G232"/>
      <c r="H232" s="94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2:39" s="144" customFormat="1" ht="15.75" customHeight="1" x14ac:dyDescent="0.25">
      <c r="B233"/>
      <c r="C233"/>
      <c r="D233"/>
      <c r="E233"/>
      <c r="F233"/>
      <c r="G233"/>
      <c r="H233" s="94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2:39" s="144" customFormat="1" ht="15.75" customHeight="1" x14ac:dyDescent="0.25">
      <c r="B234"/>
      <c r="C234"/>
      <c r="D234"/>
      <c r="E234"/>
      <c r="F234"/>
      <c r="G234"/>
      <c r="H234" s="9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2:39" s="144" customFormat="1" ht="15.75" customHeight="1" x14ac:dyDescent="0.25">
      <c r="B235"/>
      <c r="C235"/>
      <c r="D235"/>
      <c r="E235"/>
      <c r="F235"/>
      <c r="G235"/>
      <c r="H235" s="94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2:39" s="144" customFormat="1" ht="15.75" customHeight="1" x14ac:dyDescent="0.25">
      <c r="B236"/>
      <c r="C236"/>
      <c r="D236"/>
      <c r="E236"/>
      <c r="F236"/>
      <c r="G236"/>
      <c r="H236" s="94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2:39" s="144" customFormat="1" ht="15.75" customHeight="1" x14ac:dyDescent="0.25">
      <c r="B237"/>
      <c r="C237"/>
      <c r="D237"/>
      <c r="E237"/>
      <c r="F237"/>
      <c r="G237"/>
      <c r="H237" s="94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2:39" s="144" customFormat="1" ht="15.75" customHeight="1" x14ac:dyDescent="0.25">
      <c r="B238"/>
      <c r="C238"/>
      <c r="D238"/>
      <c r="E238"/>
      <c r="F238"/>
      <c r="G238"/>
      <c r="H238" s="94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2:39" s="144" customFormat="1" ht="15.75" customHeight="1" x14ac:dyDescent="0.25">
      <c r="B239"/>
      <c r="C239"/>
      <c r="D239"/>
      <c r="E239"/>
      <c r="F239"/>
      <c r="G239"/>
      <c r="H239" s="94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2:39" s="144" customFormat="1" ht="15.75" customHeight="1" x14ac:dyDescent="0.25">
      <c r="B240"/>
      <c r="C240"/>
      <c r="D240"/>
      <c r="E240"/>
      <c r="F240"/>
      <c r="G240"/>
      <c r="H240" s="94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2:39" s="144" customFormat="1" ht="15.75" customHeight="1" x14ac:dyDescent="0.25">
      <c r="B241"/>
      <c r="C241"/>
      <c r="D241"/>
      <c r="E241"/>
      <c r="F241"/>
      <c r="G241"/>
      <c r="H241" s="94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2:39" s="144" customFormat="1" ht="15.75" customHeight="1" x14ac:dyDescent="0.25">
      <c r="B242"/>
      <c r="C242"/>
      <c r="D242"/>
      <c r="E242"/>
      <c r="F242"/>
      <c r="G242"/>
      <c r="H242" s="94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2:39" s="144" customFormat="1" ht="15.75" customHeight="1" x14ac:dyDescent="0.25">
      <c r="B243"/>
      <c r="C243"/>
      <c r="D243"/>
      <c r="E243"/>
      <c r="F243"/>
      <c r="G243"/>
      <c r="H243" s="94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2:39" s="144" customFormat="1" ht="15.75" customHeight="1" x14ac:dyDescent="0.25">
      <c r="B244"/>
      <c r="C244"/>
      <c r="D244"/>
      <c r="E244"/>
      <c r="F244"/>
      <c r="G244"/>
      <c r="H244" s="9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2:39" s="144" customFormat="1" ht="15.75" customHeight="1" x14ac:dyDescent="0.25">
      <c r="B245"/>
      <c r="C245"/>
      <c r="D245"/>
      <c r="E245"/>
      <c r="F245"/>
      <c r="G245"/>
      <c r="H245" s="94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2:39" s="144" customFormat="1" ht="15.75" customHeight="1" x14ac:dyDescent="0.25">
      <c r="B246"/>
      <c r="C246"/>
      <c r="D246"/>
      <c r="E246"/>
      <c r="F246"/>
      <c r="G246"/>
      <c r="H246" s="94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2:39" s="144" customFormat="1" ht="15.75" customHeight="1" x14ac:dyDescent="0.25">
      <c r="B247"/>
      <c r="C247"/>
      <c r="D247"/>
      <c r="E247"/>
      <c r="F247"/>
      <c r="G247"/>
      <c r="H247" s="94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  <row r="248" spans="2:39" s="144" customFormat="1" ht="15.75" customHeight="1" x14ac:dyDescent="0.25">
      <c r="B248"/>
      <c r="C248"/>
      <c r="D248"/>
      <c r="E248"/>
      <c r="F248"/>
      <c r="G248"/>
      <c r="H248" s="94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</row>
    <row r="249" spans="2:39" s="144" customFormat="1" ht="15.75" customHeight="1" x14ac:dyDescent="0.25">
      <c r="B249"/>
      <c r="C249"/>
      <c r="D249"/>
      <c r="E249"/>
      <c r="F249"/>
      <c r="G249"/>
      <c r="H249" s="94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</row>
    <row r="250" spans="2:39" s="144" customFormat="1" ht="15.75" customHeight="1" x14ac:dyDescent="0.25">
      <c r="B250"/>
      <c r="C250"/>
      <c r="D250"/>
      <c r="E250"/>
      <c r="F250"/>
      <c r="G250"/>
      <c r="H250" s="94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</row>
    <row r="251" spans="2:39" s="144" customFormat="1" ht="15.75" customHeight="1" x14ac:dyDescent="0.25">
      <c r="B251"/>
      <c r="C251"/>
      <c r="D251"/>
      <c r="E251"/>
      <c r="F251"/>
      <c r="G251"/>
      <c r="H251" s="94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</row>
    <row r="252" spans="2:39" s="144" customFormat="1" ht="15.75" customHeight="1" x14ac:dyDescent="0.25">
      <c r="B252"/>
      <c r="C252"/>
      <c r="D252"/>
      <c r="E252"/>
      <c r="F252"/>
      <c r="G252"/>
      <c r="H252" s="94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</row>
    <row r="253" spans="2:39" s="144" customFormat="1" ht="15.75" customHeight="1" x14ac:dyDescent="0.25">
      <c r="B253"/>
      <c r="C253"/>
      <c r="D253"/>
      <c r="E253"/>
      <c r="F253"/>
      <c r="G253"/>
      <c r="H253" s="94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</row>
    <row r="254" spans="2:39" s="144" customFormat="1" ht="15.75" customHeight="1" x14ac:dyDescent="0.25">
      <c r="B254"/>
      <c r="C254"/>
      <c r="D254"/>
      <c r="E254"/>
      <c r="F254"/>
      <c r="G254"/>
      <c r="H254" s="9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</row>
    <row r="255" spans="2:39" s="144" customFormat="1" ht="15.75" customHeight="1" x14ac:dyDescent="0.25">
      <c r="B255"/>
      <c r="C255"/>
      <c r="D255"/>
      <c r="E255"/>
      <c r="F255"/>
      <c r="G255"/>
      <c r="H255" s="94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</row>
    <row r="256" spans="2:39" s="144" customFormat="1" ht="15.75" customHeight="1" x14ac:dyDescent="0.25">
      <c r="B256"/>
      <c r="C256"/>
      <c r="D256"/>
      <c r="E256"/>
      <c r="F256"/>
      <c r="G256"/>
      <c r="H256" s="94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</row>
    <row r="257" spans="2:39" s="144" customFormat="1" ht="15.75" customHeight="1" x14ac:dyDescent="0.25">
      <c r="B257"/>
      <c r="C257"/>
      <c r="D257"/>
      <c r="E257"/>
      <c r="F257"/>
      <c r="G257"/>
      <c r="H257" s="94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</row>
    <row r="258" spans="2:39" s="144" customFormat="1" ht="15.75" customHeight="1" x14ac:dyDescent="0.25">
      <c r="B258"/>
      <c r="C258"/>
      <c r="D258"/>
      <c r="E258"/>
      <c r="F258"/>
      <c r="G258"/>
      <c r="H258" s="94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</row>
    <row r="259" spans="2:39" s="144" customFormat="1" ht="15.75" customHeight="1" x14ac:dyDescent="0.25">
      <c r="B259"/>
      <c r="C259"/>
      <c r="D259"/>
      <c r="E259"/>
      <c r="F259"/>
      <c r="G259"/>
      <c r="H259" s="94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</row>
    <row r="260" spans="2:39" s="144" customFormat="1" ht="15.75" customHeight="1" x14ac:dyDescent="0.25">
      <c r="B260"/>
      <c r="C260"/>
      <c r="D260"/>
      <c r="E260"/>
      <c r="F260"/>
      <c r="G260"/>
      <c r="H260" s="94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</row>
    <row r="261" spans="2:39" s="144" customFormat="1" ht="15.75" customHeight="1" x14ac:dyDescent="0.25">
      <c r="B261"/>
      <c r="C261"/>
      <c r="D261"/>
      <c r="E261"/>
      <c r="F261"/>
      <c r="G261"/>
      <c r="H261" s="94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</row>
    <row r="262" spans="2:39" s="144" customFormat="1" ht="15.75" customHeight="1" x14ac:dyDescent="0.25">
      <c r="B262"/>
      <c r="C262"/>
      <c r="D262"/>
      <c r="E262"/>
      <c r="F262"/>
      <c r="G262"/>
      <c r="H262" s="94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</row>
    <row r="263" spans="2:39" s="144" customFormat="1" ht="15.75" customHeight="1" x14ac:dyDescent="0.25">
      <c r="B263"/>
      <c r="C263"/>
      <c r="D263"/>
      <c r="E263"/>
      <c r="F263"/>
      <c r="G263"/>
      <c r="H263" s="94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</row>
    <row r="264" spans="2:39" s="144" customFormat="1" ht="15.75" customHeight="1" x14ac:dyDescent="0.25">
      <c r="B264"/>
      <c r="C264"/>
      <c r="D264"/>
      <c r="E264"/>
      <c r="F264"/>
      <c r="G264"/>
      <c r="H264" s="9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</row>
    <row r="265" spans="2:39" s="144" customFormat="1" ht="15.75" customHeight="1" x14ac:dyDescent="0.25">
      <c r="B265"/>
      <c r="C265"/>
      <c r="D265"/>
      <c r="E265"/>
      <c r="F265"/>
      <c r="G265"/>
      <c r="H265" s="94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</row>
    <row r="266" spans="2:39" s="144" customFormat="1" ht="15.75" customHeight="1" x14ac:dyDescent="0.25">
      <c r="B266"/>
      <c r="C266"/>
      <c r="D266"/>
      <c r="E266"/>
      <c r="F266"/>
      <c r="G266"/>
      <c r="H266" s="94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</row>
    <row r="267" spans="2:39" s="144" customFormat="1" ht="15.75" customHeight="1" x14ac:dyDescent="0.25">
      <c r="B267"/>
      <c r="C267"/>
      <c r="D267"/>
      <c r="E267"/>
      <c r="F267"/>
      <c r="G267"/>
      <c r="H267" s="94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</row>
    <row r="268" spans="2:39" s="144" customFormat="1" ht="15.75" customHeight="1" x14ac:dyDescent="0.25">
      <c r="B268"/>
      <c r="C268"/>
      <c r="D268"/>
      <c r="E268"/>
      <c r="F268"/>
      <c r="G268"/>
      <c r="H268" s="94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</row>
    <row r="269" spans="2:39" s="144" customFormat="1" ht="15.75" customHeight="1" x14ac:dyDescent="0.25">
      <c r="B269"/>
      <c r="C269"/>
      <c r="D269"/>
      <c r="E269"/>
      <c r="F269"/>
      <c r="G269"/>
      <c r="H269" s="94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2:39" s="144" customFormat="1" ht="15.75" customHeight="1" x14ac:dyDescent="0.25">
      <c r="B270"/>
      <c r="C270"/>
      <c r="D270"/>
      <c r="E270"/>
      <c r="F270"/>
      <c r="G270"/>
      <c r="H270" s="94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2:39" s="144" customFormat="1" ht="15.75" customHeight="1" x14ac:dyDescent="0.25">
      <c r="B271"/>
      <c r="C271"/>
      <c r="D271"/>
      <c r="E271"/>
      <c r="F271"/>
      <c r="G271"/>
      <c r="H271" s="94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2:39" s="144" customFormat="1" ht="15.75" customHeight="1" x14ac:dyDescent="0.25">
      <c r="B272"/>
      <c r="C272"/>
      <c r="D272"/>
      <c r="E272"/>
      <c r="F272"/>
      <c r="G272"/>
      <c r="H272" s="94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2:39" s="144" customFormat="1" ht="15.75" customHeight="1" x14ac:dyDescent="0.25">
      <c r="B273"/>
      <c r="C273"/>
      <c r="D273"/>
      <c r="E273"/>
      <c r="F273"/>
      <c r="G273"/>
      <c r="H273" s="94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</row>
    <row r="274" spans="2:39" s="144" customFormat="1" ht="15.75" customHeight="1" x14ac:dyDescent="0.25">
      <c r="B274"/>
      <c r="C274"/>
      <c r="D274"/>
      <c r="E274"/>
      <c r="F274"/>
      <c r="G274"/>
      <c r="H274" s="9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</row>
    <row r="275" spans="2:39" s="144" customFormat="1" ht="15.75" customHeight="1" x14ac:dyDescent="0.25">
      <c r="B275"/>
      <c r="C275"/>
      <c r="D275"/>
      <c r="E275"/>
      <c r="F275"/>
      <c r="G275"/>
      <c r="H275" s="94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</row>
    <row r="276" spans="2:39" s="144" customFormat="1" ht="15.75" customHeight="1" x14ac:dyDescent="0.25">
      <c r="B276"/>
      <c r="C276"/>
      <c r="D276"/>
      <c r="E276"/>
      <c r="F276"/>
      <c r="G276"/>
      <c r="H276" s="94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</row>
    <row r="277" spans="2:39" s="144" customFormat="1" ht="15.75" customHeight="1" x14ac:dyDescent="0.25">
      <c r="B277"/>
      <c r="C277"/>
      <c r="D277"/>
      <c r="E277"/>
      <c r="F277"/>
      <c r="G277"/>
      <c r="H277" s="94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</row>
    <row r="278" spans="2:39" s="144" customFormat="1" ht="15.75" customHeight="1" x14ac:dyDescent="0.25">
      <c r="B278"/>
      <c r="C278"/>
      <c r="D278"/>
      <c r="E278"/>
      <c r="F278"/>
      <c r="G278"/>
      <c r="H278" s="94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</row>
    <row r="279" spans="2:39" s="144" customFormat="1" ht="15.75" customHeight="1" x14ac:dyDescent="0.25">
      <c r="B279"/>
      <c r="C279"/>
      <c r="D279"/>
      <c r="E279"/>
      <c r="F279"/>
      <c r="G279"/>
      <c r="H279" s="94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</row>
    <row r="280" spans="2:39" s="144" customFormat="1" ht="15.75" customHeight="1" x14ac:dyDescent="0.25">
      <c r="B280"/>
      <c r="C280"/>
      <c r="D280"/>
      <c r="E280"/>
      <c r="F280"/>
      <c r="G280"/>
      <c r="H280" s="94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</row>
    <row r="281" spans="2:39" s="144" customFormat="1" ht="15.75" customHeight="1" x14ac:dyDescent="0.25">
      <c r="B281"/>
      <c r="C281"/>
      <c r="D281"/>
      <c r="E281"/>
      <c r="F281"/>
      <c r="G281"/>
      <c r="H281" s="94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</row>
    <row r="282" spans="2:39" s="144" customFormat="1" ht="15.75" customHeight="1" x14ac:dyDescent="0.25">
      <c r="B282"/>
      <c r="C282"/>
      <c r="D282"/>
      <c r="E282"/>
      <c r="F282"/>
      <c r="G282"/>
      <c r="H282" s="94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</row>
    <row r="283" spans="2:39" s="144" customFormat="1" ht="15.75" customHeight="1" x14ac:dyDescent="0.25">
      <c r="B283"/>
      <c r="C283"/>
      <c r="D283"/>
      <c r="E283"/>
      <c r="F283"/>
      <c r="G283"/>
      <c r="H283" s="94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</row>
    <row r="284" spans="2:39" s="144" customFormat="1" ht="15.75" customHeight="1" x14ac:dyDescent="0.25">
      <c r="B284"/>
      <c r="C284"/>
      <c r="D284"/>
      <c r="E284"/>
      <c r="F284"/>
      <c r="G284"/>
      <c r="H284" s="9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</row>
    <row r="285" spans="2:39" s="144" customFormat="1" ht="15.75" customHeight="1" x14ac:dyDescent="0.25">
      <c r="B285"/>
      <c r="C285"/>
      <c r="D285"/>
      <c r="E285"/>
      <c r="F285"/>
      <c r="G285"/>
      <c r="H285" s="94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</row>
    <row r="286" spans="2:39" s="144" customFormat="1" ht="15.75" customHeight="1" x14ac:dyDescent="0.25">
      <c r="B286"/>
      <c r="C286"/>
      <c r="D286"/>
      <c r="E286"/>
      <c r="F286"/>
      <c r="G286"/>
      <c r="H286" s="94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</row>
    <row r="287" spans="2:39" s="144" customFormat="1" ht="15.75" customHeight="1" x14ac:dyDescent="0.25">
      <c r="B287"/>
      <c r="C287"/>
      <c r="D287"/>
      <c r="E287"/>
      <c r="F287"/>
      <c r="G287"/>
      <c r="H287" s="94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</row>
    <row r="288" spans="2:39" s="144" customFormat="1" ht="15.75" customHeight="1" x14ac:dyDescent="0.25">
      <c r="B288"/>
      <c r="C288"/>
      <c r="D288"/>
      <c r="E288"/>
      <c r="F288"/>
      <c r="G288"/>
      <c r="H288" s="94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</row>
    <row r="289" spans="2:39" s="144" customFormat="1" ht="15.75" customHeight="1" x14ac:dyDescent="0.25">
      <c r="B289"/>
      <c r="C289"/>
      <c r="D289"/>
      <c r="E289"/>
      <c r="F289"/>
      <c r="G289"/>
      <c r="H289" s="94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</row>
    <row r="290" spans="2:39" s="144" customFormat="1" ht="15.75" customHeight="1" x14ac:dyDescent="0.25">
      <c r="B290"/>
      <c r="C290"/>
      <c r="D290"/>
      <c r="E290"/>
      <c r="F290"/>
      <c r="G290"/>
      <c r="H290" s="94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</row>
    <row r="291" spans="2:39" s="144" customFormat="1" ht="15.75" customHeight="1" x14ac:dyDescent="0.25">
      <c r="B291"/>
      <c r="C291"/>
      <c r="D291"/>
      <c r="E291"/>
      <c r="F291"/>
      <c r="G291"/>
      <c r="H291" s="94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</row>
    <row r="292" spans="2:39" s="144" customFormat="1" ht="15.75" customHeight="1" x14ac:dyDescent="0.25">
      <c r="B292"/>
      <c r="C292"/>
      <c r="D292"/>
      <c r="E292"/>
      <c r="F292"/>
      <c r="G292"/>
      <c r="H292" s="94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</row>
    <row r="293" spans="2:39" s="144" customFormat="1" ht="15.75" customHeight="1" x14ac:dyDescent="0.25">
      <c r="B293"/>
      <c r="C293"/>
      <c r="D293"/>
      <c r="E293"/>
      <c r="F293"/>
      <c r="G293"/>
      <c r="H293" s="94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</row>
    <row r="294" spans="2:39" s="144" customFormat="1" ht="15.75" customHeight="1" x14ac:dyDescent="0.25">
      <c r="B294"/>
      <c r="C294"/>
      <c r="D294"/>
      <c r="E294"/>
      <c r="F294"/>
      <c r="G294"/>
      <c r="H294" s="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</row>
    <row r="295" spans="2:39" s="144" customFormat="1" ht="15.75" customHeight="1" x14ac:dyDescent="0.25">
      <c r="B295"/>
      <c r="C295"/>
      <c r="D295"/>
      <c r="E295"/>
      <c r="F295"/>
      <c r="G295"/>
      <c r="H295" s="94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</row>
    <row r="296" spans="2:39" s="144" customFormat="1" ht="15.75" customHeight="1" x14ac:dyDescent="0.25">
      <c r="B296"/>
      <c r="C296"/>
      <c r="D296"/>
      <c r="E296"/>
      <c r="F296"/>
      <c r="G296"/>
      <c r="H296" s="94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</row>
    <row r="297" spans="2:39" s="144" customFormat="1" ht="15.75" customHeight="1" x14ac:dyDescent="0.25">
      <c r="B297"/>
      <c r="C297"/>
      <c r="D297"/>
      <c r="E297"/>
      <c r="F297"/>
      <c r="G297"/>
      <c r="H297" s="94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</row>
    <row r="298" spans="2:39" s="144" customFormat="1" ht="15.75" customHeight="1" x14ac:dyDescent="0.25">
      <c r="B298"/>
      <c r="C298"/>
      <c r="D298"/>
      <c r="E298"/>
      <c r="F298"/>
      <c r="G298"/>
      <c r="H298" s="94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</row>
    <row r="299" spans="2:39" s="144" customFormat="1" ht="15.75" customHeight="1" x14ac:dyDescent="0.25">
      <c r="B299"/>
      <c r="C299"/>
      <c r="D299"/>
      <c r="E299"/>
      <c r="F299"/>
      <c r="G299"/>
      <c r="H299" s="94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</row>
    <row r="300" spans="2:39" s="144" customFormat="1" ht="15.75" customHeight="1" x14ac:dyDescent="0.25">
      <c r="B300"/>
      <c r="C300"/>
      <c r="D300"/>
      <c r="E300"/>
      <c r="F300"/>
      <c r="G300"/>
      <c r="H300" s="94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</row>
    <row r="301" spans="2:39" s="144" customFormat="1" ht="15.75" customHeight="1" x14ac:dyDescent="0.25">
      <c r="B301"/>
      <c r="C301"/>
      <c r="D301"/>
      <c r="E301"/>
      <c r="F301"/>
      <c r="G301"/>
      <c r="H301" s="94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</row>
    <row r="302" spans="2:39" s="144" customFormat="1" ht="15.75" customHeight="1" x14ac:dyDescent="0.25">
      <c r="B302"/>
      <c r="C302"/>
      <c r="D302"/>
      <c r="E302"/>
      <c r="F302"/>
      <c r="G302"/>
      <c r="H302" s="94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</row>
    <row r="303" spans="2:39" s="144" customFormat="1" ht="15.75" customHeight="1" x14ac:dyDescent="0.25">
      <c r="B303"/>
      <c r="C303"/>
      <c r="D303"/>
      <c r="E303"/>
      <c r="F303"/>
      <c r="G303"/>
      <c r="H303" s="94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</row>
    <row r="304" spans="2:39" s="144" customFormat="1" ht="15.75" customHeight="1" x14ac:dyDescent="0.25">
      <c r="B304"/>
      <c r="C304"/>
      <c r="D304"/>
      <c r="E304"/>
      <c r="F304"/>
      <c r="G304"/>
      <c r="H304" s="9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</row>
    <row r="305" spans="2:39" s="144" customFormat="1" ht="15.75" customHeight="1" x14ac:dyDescent="0.25">
      <c r="B305"/>
      <c r="C305"/>
      <c r="D305"/>
      <c r="E305"/>
      <c r="F305"/>
      <c r="G305"/>
      <c r="H305" s="94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</row>
    <row r="306" spans="2:39" s="144" customFormat="1" ht="15.75" customHeight="1" x14ac:dyDescent="0.25">
      <c r="B306"/>
      <c r="C306"/>
      <c r="D306"/>
      <c r="E306"/>
      <c r="F306"/>
      <c r="G306"/>
      <c r="H306" s="94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</row>
    <row r="307" spans="2:39" s="144" customFormat="1" ht="15.75" customHeight="1" x14ac:dyDescent="0.25">
      <c r="B307"/>
      <c r="C307"/>
      <c r="D307"/>
      <c r="E307"/>
      <c r="F307"/>
      <c r="G307"/>
      <c r="H307" s="94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</row>
    <row r="308" spans="2:39" s="144" customFormat="1" ht="15.75" customHeight="1" x14ac:dyDescent="0.25">
      <c r="B308"/>
      <c r="C308"/>
      <c r="D308"/>
      <c r="E308"/>
      <c r="F308"/>
      <c r="G308"/>
      <c r="H308" s="94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</row>
    <row r="309" spans="2:39" s="144" customFormat="1" ht="15.75" customHeight="1" x14ac:dyDescent="0.25">
      <c r="B309"/>
      <c r="C309"/>
      <c r="D309"/>
      <c r="E309"/>
      <c r="F309"/>
      <c r="G309"/>
      <c r="H309" s="94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</row>
    <row r="310" spans="2:39" s="144" customFormat="1" ht="15.75" customHeight="1" x14ac:dyDescent="0.25">
      <c r="B310"/>
      <c r="C310"/>
      <c r="D310"/>
      <c r="E310"/>
      <c r="F310"/>
      <c r="G310"/>
      <c r="H310" s="94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</row>
    <row r="311" spans="2:39" s="144" customFormat="1" ht="15.75" customHeight="1" x14ac:dyDescent="0.25">
      <c r="B311"/>
      <c r="C311"/>
      <c r="D311"/>
      <c r="E311"/>
      <c r="F311"/>
      <c r="G311"/>
      <c r="H311" s="94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</row>
    <row r="312" spans="2:39" s="144" customFormat="1" ht="15.75" customHeight="1" x14ac:dyDescent="0.25">
      <c r="B312"/>
      <c r="C312"/>
      <c r="D312"/>
      <c r="E312"/>
      <c r="F312"/>
      <c r="G312"/>
      <c r="H312" s="94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</row>
    <row r="313" spans="2:39" s="144" customFormat="1" ht="15.75" customHeight="1" x14ac:dyDescent="0.25">
      <c r="B313"/>
      <c r="C313"/>
      <c r="D313"/>
      <c r="E313"/>
      <c r="F313"/>
      <c r="G313"/>
      <c r="H313" s="94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</row>
    <row r="314" spans="2:39" s="144" customFormat="1" ht="15.75" customHeight="1" x14ac:dyDescent="0.25">
      <c r="B314"/>
      <c r="C314"/>
      <c r="D314"/>
      <c r="E314"/>
      <c r="F314"/>
      <c r="G314"/>
      <c r="H314" s="9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</row>
    <row r="315" spans="2:39" s="144" customFormat="1" ht="15.75" customHeight="1" x14ac:dyDescent="0.25">
      <c r="B315"/>
      <c r="C315"/>
      <c r="D315"/>
      <c r="E315"/>
      <c r="F315"/>
      <c r="G315"/>
      <c r="H315" s="94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</row>
    <row r="316" spans="2:39" s="144" customFormat="1" ht="15.75" customHeight="1" x14ac:dyDescent="0.25">
      <c r="B316"/>
      <c r="C316"/>
      <c r="D316"/>
      <c r="E316"/>
      <c r="F316"/>
      <c r="G316"/>
      <c r="H316" s="94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</row>
    <row r="317" spans="2:39" s="144" customFormat="1" ht="15.75" customHeight="1" x14ac:dyDescent="0.25">
      <c r="B317"/>
      <c r="C317"/>
      <c r="D317"/>
      <c r="E317"/>
      <c r="F317"/>
      <c r="G317"/>
      <c r="H317" s="94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</row>
    <row r="318" spans="2:39" s="144" customFormat="1" ht="15.75" customHeight="1" x14ac:dyDescent="0.25">
      <c r="B318"/>
      <c r="C318"/>
      <c r="D318"/>
      <c r="E318"/>
      <c r="F318"/>
      <c r="G318"/>
      <c r="H318" s="94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</row>
    <row r="319" spans="2:39" s="144" customFormat="1" ht="15.75" customHeight="1" x14ac:dyDescent="0.25">
      <c r="B319"/>
      <c r="C319"/>
      <c r="D319"/>
      <c r="E319"/>
      <c r="F319"/>
      <c r="G319"/>
      <c r="H319" s="94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</row>
    <row r="320" spans="2:39" s="144" customFormat="1" ht="15.75" customHeight="1" x14ac:dyDescent="0.25">
      <c r="B320"/>
      <c r="C320"/>
      <c r="D320"/>
      <c r="E320"/>
      <c r="F320"/>
      <c r="G320"/>
      <c r="H320" s="94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</row>
    <row r="321" spans="2:39" s="144" customFormat="1" ht="15.75" customHeight="1" x14ac:dyDescent="0.25">
      <c r="B321"/>
      <c r="C321"/>
      <c r="D321"/>
      <c r="E321"/>
      <c r="F321"/>
      <c r="G321"/>
      <c r="H321" s="94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</row>
    <row r="322" spans="2:39" s="144" customFormat="1" ht="15.75" customHeight="1" x14ac:dyDescent="0.25">
      <c r="B322"/>
      <c r="C322"/>
      <c r="D322"/>
      <c r="E322"/>
      <c r="F322"/>
      <c r="G322"/>
      <c r="H322" s="94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</row>
    <row r="323" spans="2:39" s="144" customFormat="1" ht="15.75" customHeight="1" x14ac:dyDescent="0.25">
      <c r="B323"/>
      <c r="C323"/>
      <c r="D323"/>
      <c r="E323"/>
      <c r="F323"/>
      <c r="G323"/>
      <c r="H323" s="94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</row>
    <row r="324" spans="2:39" s="144" customFormat="1" ht="15.75" customHeight="1" x14ac:dyDescent="0.25">
      <c r="B324"/>
      <c r="C324"/>
      <c r="D324"/>
      <c r="E324"/>
      <c r="F324"/>
      <c r="G324"/>
      <c r="H324" s="9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</row>
    <row r="325" spans="2:39" s="144" customFormat="1" ht="15.75" customHeight="1" x14ac:dyDescent="0.25">
      <c r="B325"/>
      <c r="C325"/>
      <c r="D325"/>
      <c r="E325"/>
      <c r="F325"/>
      <c r="G325"/>
      <c r="H325" s="94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</row>
    <row r="326" spans="2:39" s="144" customFormat="1" ht="15.75" customHeight="1" x14ac:dyDescent="0.25">
      <c r="B326"/>
      <c r="C326"/>
      <c r="D326"/>
      <c r="E326"/>
      <c r="F326"/>
      <c r="G326"/>
      <c r="H326" s="94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</row>
    <row r="327" spans="2:39" s="144" customFormat="1" ht="15.75" customHeight="1" x14ac:dyDescent="0.25">
      <c r="B327"/>
      <c r="C327"/>
      <c r="D327"/>
      <c r="E327"/>
      <c r="F327"/>
      <c r="G327"/>
      <c r="H327" s="94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</row>
    <row r="328" spans="2:39" s="144" customFormat="1" ht="15.75" customHeight="1" x14ac:dyDescent="0.25">
      <c r="B328"/>
      <c r="C328"/>
      <c r="D328"/>
      <c r="E328"/>
      <c r="F328"/>
      <c r="G328"/>
      <c r="H328" s="94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</row>
    <row r="329" spans="2:39" s="144" customFormat="1" ht="15.75" customHeight="1" x14ac:dyDescent="0.25">
      <c r="B329"/>
      <c r="C329"/>
      <c r="D329"/>
      <c r="E329"/>
      <c r="F329"/>
      <c r="G329"/>
      <c r="H329" s="94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</row>
    <row r="330" spans="2:39" s="144" customFormat="1" ht="15.75" customHeight="1" x14ac:dyDescent="0.25">
      <c r="B330"/>
      <c r="C330"/>
      <c r="D330"/>
      <c r="E330"/>
      <c r="F330"/>
      <c r="G330"/>
      <c r="H330" s="94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</row>
    <row r="331" spans="2:39" s="144" customFormat="1" ht="15.75" customHeight="1" x14ac:dyDescent="0.25">
      <c r="B331"/>
      <c r="C331"/>
      <c r="D331"/>
      <c r="E331"/>
      <c r="F331"/>
      <c r="G331"/>
      <c r="H331" s="94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</row>
    <row r="332" spans="2:39" s="144" customFormat="1" ht="15.75" customHeight="1" x14ac:dyDescent="0.25">
      <c r="B332"/>
      <c r="C332"/>
      <c r="D332"/>
      <c r="E332"/>
      <c r="F332"/>
      <c r="G332"/>
      <c r="H332" s="94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</row>
    <row r="333" spans="2:39" s="144" customFormat="1" ht="15.75" customHeight="1" x14ac:dyDescent="0.25">
      <c r="B333"/>
      <c r="C333"/>
      <c r="D333"/>
      <c r="E333"/>
      <c r="F333"/>
      <c r="G333"/>
      <c r="H333" s="94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</row>
    <row r="334" spans="2:39" s="144" customFormat="1" ht="15.75" customHeight="1" x14ac:dyDescent="0.25">
      <c r="B334"/>
      <c r="C334"/>
      <c r="D334"/>
      <c r="E334"/>
      <c r="F334"/>
      <c r="G334"/>
      <c r="H334" s="9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</row>
    <row r="335" spans="2:39" s="144" customFormat="1" ht="15.75" customHeight="1" x14ac:dyDescent="0.25">
      <c r="B335"/>
      <c r="C335"/>
      <c r="D335"/>
      <c r="E335"/>
      <c r="F335"/>
      <c r="G335"/>
      <c r="H335" s="94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</row>
    <row r="336" spans="2:39" s="144" customFormat="1" ht="15.75" customHeight="1" x14ac:dyDescent="0.25">
      <c r="B336"/>
      <c r="C336"/>
      <c r="D336"/>
      <c r="E336"/>
      <c r="F336"/>
      <c r="G336"/>
      <c r="H336" s="94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</row>
    <row r="337" spans="2:39" s="144" customFormat="1" ht="15.75" customHeight="1" x14ac:dyDescent="0.25">
      <c r="B337"/>
      <c r="C337"/>
      <c r="D337"/>
      <c r="E337"/>
      <c r="F337"/>
      <c r="G337"/>
      <c r="H337" s="94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</row>
    <row r="338" spans="2:39" s="144" customFormat="1" ht="15.75" customHeight="1" x14ac:dyDescent="0.25">
      <c r="B338"/>
      <c r="C338"/>
      <c r="D338"/>
      <c r="E338"/>
      <c r="F338"/>
      <c r="G338"/>
      <c r="H338" s="94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</row>
    <row r="339" spans="2:39" s="144" customFormat="1" ht="15.75" customHeight="1" x14ac:dyDescent="0.25">
      <c r="B339"/>
      <c r="C339"/>
      <c r="D339"/>
      <c r="E339"/>
      <c r="F339"/>
      <c r="G339"/>
      <c r="H339" s="94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</row>
    <row r="340" spans="2:39" s="144" customFormat="1" ht="15.75" customHeight="1" x14ac:dyDescent="0.25">
      <c r="B340"/>
      <c r="C340"/>
      <c r="D340"/>
      <c r="E340"/>
      <c r="F340"/>
      <c r="G340"/>
      <c r="H340" s="94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</row>
    <row r="341" spans="2:39" s="144" customFormat="1" ht="15.75" customHeight="1" x14ac:dyDescent="0.25">
      <c r="B341"/>
      <c r="C341"/>
      <c r="D341"/>
      <c r="E341"/>
      <c r="F341"/>
      <c r="G341"/>
      <c r="H341" s="94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</row>
    <row r="342" spans="2:39" s="144" customFormat="1" ht="15.75" customHeight="1" x14ac:dyDescent="0.25">
      <c r="B342"/>
      <c r="C342"/>
      <c r="D342"/>
      <c r="E342"/>
      <c r="F342"/>
      <c r="G342"/>
      <c r="H342" s="94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</row>
    <row r="343" spans="2:39" s="144" customFormat="1" ht="15.75" customHeight="1" x14ac:dyDescent="0.25">
      <c r="B343"/>
      <c r="C343"/>
      <c r="D343"/>
      <c r="E343"/>
      <c r="F343"/>
      <c r="G343"/>
      <c r="H343" s="94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</row>
    <row r="344" spans="2:39" s="144" customFormat="1" ht="15.75" customHeight="1" x14ac:dyDescent="0.25">
      <c r="B344"/>
      <c r="C344"/>
      <c r="D344"/>
      <c r="E344"/>
      <c r="F344"/>
      <c r="G344"/>
      <c r="H344" s="9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</row>
    <row r="345" spans="2:39" s="144" customFormat="1" ht="15.75" customHeight="1" x14ac:dyDescent="0.25">
      <c r="B345"/>
      <c r="C345"/>
      <c r="D345"/>
      <c r="E345"/>
      <c r="F345"/>
      <c r="G345"/>
      <c r="H345" s="94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</row>
    <row r="346" spans="2:39" s="144" customFormat="1" ht="15.75" customHeight="1" x14ac:dyDescent="0.25">
      <c r="B346"/>
      <c r="C346"/>
      <c r="D346"/>
      <c r="E346"/>
      <c r="F346"/>
      <c r="G346"/>
      <c r="H346" s="94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</row>
    <row r="347" spans="2:39" s="144" customFormat="1" ht="15.75" customHeight="1" x14ac:dyDescent="0.25">
      <c r="B347"/>
      <c r="C347"/>
      <c r="D347"/>
      <c r="E347"/>
      <c r="F347"/>
      <c r="G347"/>
      <c r="H347" s="94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</row>
    <row r="348" spans="2:39" s="144" customFormat="1" ht="15.75" customHeight="1" x14ac:dyDescent="0.25">
      <c r="B348"/>
      <c r="C348"/>
      <c r="D348"/>
      <c r="E348"/>
      <c r="F348"/>
      <c r="G348"/>
      <c r="H348" s="94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</row>
    <row r="349" spans="2:39" s="144" customFormat="1" ht="15.75" customHeight="1" x14ac:dyDescent="0.25">
      <c r="B349"/>
      <c r="C349"/>
      <c r="D349"/>
      <c r="E349"/>
      <c r="F349"/>
      <c r="G349"/>
      <c r="H349" s="94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</row>
    <row r="350" spans="2:39" s="144" customFormat="1" ht="15.75" customHeight="1" x14ac:dyDescent="0.25">
      <c r="B350"/>
      <c r="C350"/>
      <c r="D350"/>
      <c r="E350"/>
      <c r="F350"/>
      <c r="G350"/>
      <c r="H350" s="94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</row>
    <row r="351" spans="2:39" s="144" customFormat="1" ht="15.75" customHeight="1" x14ac:dyDescent="0.25">
      <c r="B351"/>
      <c r="C351"/>
      <c r="D351"/>
      <c r="E351"/>
      <c r="F351"/>
      <c r="G351"/>
      <c r="H351" s="94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</row>
    <row r="352" spans="2:39" s="144" customFormat="1" ht="15.75" customHeight="1" x14ac:dyDescent="0.25">
      <c r="B352"/>
      <c r="C352"/>
      <c r="D352"/>
      <c r="E352"/>
      <c r="F352"/>
      <c r="G352"/>
      <c r="H352" s="94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</row>
    <row r="353" spans="2:39" s="144" customFormat="1" ht="15.75" customHeight="1" x14ac:dyDescent="0.25">
      <c r="B353"/>
      <c r="C353"/>
      <c r="D353"/>
      <c r="E353"/>
      <c r="F353"/>
      <c r="G353"/>
      <c r="H353" s="94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</row>
    <row r="354" spans="2:39" s="144" customFormat="1" ht="15.75" customHeight="1" x14ac:dyDescent="0.25">
      <c r="B354"/>
      <c r="C354"/>
      <c r="D354"/>
      <c r="E354"/>
      <c r="F354"/>
      <c r="G354"/>
      <c r="H354" s="9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</row>
    <row r="355" spans="2:39" s="144" customFormat="1" ht="15.75" customHeight="1" x14ac:dyDescent="0.25">
      <c r="B355"/>
      <c r="C355"/>
      <c r="D355"/>
      <c r="E355"/>
      <c r="F355"/>
      <c r="G355"/>
      <c r="H355" s="94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</row>
    <row r="356" spans="2:39" s="144" customFormat="1" ht="15.75" customHeight="1" x14ac:dyDescent="0.25">
      <c r="B356"/>
      <c r="C356"/>
      <c r="D356"/>
      <c r="E356"/>
      <c r="F356"/>
      <c r="G356"/>
      <c r="H356" s="94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</row>
    <row r="357" spans="2:39" s="144" customFormat="1" ht="15.75" customHeight="1" x14ac:dyDescent="0.25">
      <c r="B357"/>
      <c r="C357"/>
      <c r="D357"/>
      <c r="E357"/>
      <c r="F357"/>
      <c r="G357"/>
      <c r="H357" s="94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</row>
    <row r="358" spans="2:39" s="144" customFormat="1" ht="15.75" customHeight="1" x14ac:dyDescent="0.25">
      <c r="B358"/>
      <c r="C358"/>
      <c r="D358"/>
      <c r="E358"/>
      <c r="F358"/>
      <c r="G358"/>
      <c r="H358" s="94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</row>
    <row r="359" spans="2:39" s="144" customFormat="1" ht="15.75" customHeight="1" x14ac:dyDescent="0.25">
      <c r="B359"/>
      <c r="C359"/>
      <c r="D359"/>
      <c r="E359"/>
      <c r="F359"/>
      <c r="G359"/>
      <c r="H359" s="94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</row>
    <row r="360" spans="2:39" s="144" customFormat="1" ht="15.75" customHeight="1" x14ac:dyDescent="0.25">
      <c r="B360"/>
      <c r="C360"/>
      <c r="D360"/>
      <c r="E360"/>
      <c r="F360"/>
      <c r="G360"/>
      <c r="H360" s="94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</row>
    <row r="361" spans="2:39" s="144" customFormat="1" ht="15.75" customHeight="1" x14ac:dyDescent="0.25">
      <c r="B361"/>
      <c r="C361"/>
      <c r="D361"/>
      <c r="E361"/>
      <c r="F361"/>
      <c r="G361"/>
      <c r="H361" s="94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</row>
    <row r="362" spans="2:39" s="144" customFormat="1" ht="15.75" customHeight="1" x14ac:dyDescent="0.25">
      <c r="B362"/>
      <c r="C362"/>
      <c r="D362"/>
      <c r="E362"/>
      <c r="F362"/>
      <c r="G362"/>
      <c r="H362" s="94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</row>
    <row r="363" spans="2:39" s="144" customFormat="1" ht="15.75" customHeight="1" x14ac:dyDescent="0.25">
      <c r="B363"/>
      <c r="C363"/>
      <c r="D363"/>
      <c r="E363"/>
      <c r="F363"/>
      <c r="G363"/>
      <c r="H363" s="94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</row>
    <row r="364" spans="2:39" s="144" customFormat="1" ht="15.75" customHeight="1" x14ac:dyDescent="0.25">
      <c r="B364"/>
      <c r="C364"/>
      <c r="D364"/>
      <c r="E364"/>
      <c r="F364"/>
      <c r="G364"/>
      <c r="H364" s="9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</row>
    <row r="365" spans="2:39" s="144" customFormat="1" ht="15.75" customHeight="1" x14ac:dyDescent="0.25">
      <c r="B365"/>
      <c r="C365"/>
      <c r="D365"/>
      <c r="E365"/>
      <c r="F365"/>
      <c r="G365"/>
      <c r="H365" s="94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</row>
    <row r="366" spans="2:39" s="144" customFormat="1" ht="15.75" customHeight="1" x14ac:dyDescent="0.25">
      <c r="B366"/>
      <c r="C366"/>
      <c r="D366"/>
      <c r="E366"/>
      <c r="F366"/>
      <c r="G366"/>
      <c r="H366" s="94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</row>
    <row r="367" spans="2:39" s="144" customFormat="1" ht="15.75" customHeight="1" x14ac:dyDescent="0.25">
      <c r="B367"/>
      <c r="C367"/>
      <c r="D367"/>
      <c r="E367"/>
      <c r="F367"/>
      <c r="G367"/>
      <c r="H367" s="94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</row>
    <row r="368" spans="2:39" s="144" customFormat="1" ht="15.75" customHeight="1" x14ac:dyDescent="0.25">
      <c r="B368"/>
      <c r="C368"/>
      <c r="D368"/>
      <c r="E368"/>
      <c r="F368"/>
      <c r="G368"/>
      <c r="H368" s="94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</row>
    <row r="369" spans="2:39" s="144" customFormat="1" ht="15.75" customHeight="1" x14ac:dyDescent="0.25">
      <c r="B369"/>
      <c r="C369"/>
      <c r="D369"/>
      <c r="E369"/>
      <c r="F369"/>
      <c r="G369"/>
      <c r="H369" s="94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</row>
    <row r="370" spans="2:39" s="144" customFormat="1" ht="15.75" customHeight="1" x14ac:dyDescent="0.25">
      <c r="B370"/>
      <c r="C370"/>
      <c r="D370"/>
      <c r="E370"/>
      <c r="F370"/>
      <c r="G370"/>
      <c r="H370" s="94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</row>
    <row r="371" spans="2:39" s="144" customFormat="1" ht="15.75" customHeight="1" x14ac:dyDescent="0.25">
      <c r="B371"/>
      <c r="C371"/>
      <c r="D371"/>
      <c r="E371"/>
      <c r="F371"/>
      <c r="G371"/>
      <c r="H371" s="94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</row>
    <row r="372" spans="2:39" s="144" customFormat="1" ht="15.75" customHeight="1" x14ac:dyDescent="0.25">
      <c r="B372"/>
      <c r="C372"/>
      <c r="D372"/>
      <c r="E372"/>
      <c r="F372"/>
      <c r="G372"/>
      <c r="H372" s="94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</row>
    <row r="373" spans="2:39" s="144" customFormat="1" ht="15.75" customHeight="1" x14ac:dyDescent="0.25">
      <c r="B373"/>
      <c r="C373"/>
      <c r="D373"/>
      <c r="E373"/>
      <c r="F373"/>
      <c r="G373"/>
      <c r="H373" s="94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</row>
    <row r="374" spans="2:39" s="144" customFormat="1" ht="15.75" customHeight="1" x14ac:dyDescent="0.25">
      <c r="B374"/>
      <c r="C374"/>
      <c r="D374"/>
      <c r="E374"/>
      <c r="F374"/>
      <c r="G374"/>
      <c r="H374" s="9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</row>
    <row r="375" spans="2:39" s="144" customFormat="1" ht="15.75" customHeight="1" x14ac:dyDescent="0.25">
      <c r="B375"/>
      <c r="C375"/>
      <c r="D375"/>
      <c r="E375"/>
      <c r="F375"/>
      <c r="G375"/>
      <c r="H375" s="94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</row>
    <row r="376" spans="2:39" s="144" customFormat="1" ht="15.75" customHeight="1" x14ac:dyDescent="0.25">
      <c r="B376"/>
      <c r="C376"/>
      <c r="D376"/>
      <c r="E376"/>
      <c r="F376"/>
      <c r="G376"/>
      <c r="H376" s="94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</row>
    <row r="377" spans="2:39" s="144" customFormat="1" ht="15.75" customHeight="1" x14ac:dyDescent="0.25">
      <c r="B377"/>
      <c r="C377"/>
      <c r="D377"/>
      <c r="E377"/>
      <c r="F377"/>
      <c r="G377"/>
      <c r="H377" s="94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</row>
    <row r="378" spans="2:39" s="144" customFormat="1" ht="15.75" customHeight="1" x14ac:dyDescent="0.25">
      <c r="B378"/>
      <c r="C378"/>
      <c r="D378"/>
      <c r="E378"/>
      <c r="F378"/>
      <c r="G378"/>
      <c r="H378" s="94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</row>
    <row r="379" spans="2:39" s="144" customFormat="1" ht="15.75" customHeight="1" x14ac:dyDescent="0.25">
      <c r="B379"/>
      <c r="C379"/>
      <c r="D379"/>
      <c r="E379"/>
      <c r="F379"/>
      <c r="G379"/>
      <c r="H379" s="94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</row>
    <row r="380" spans="2:39" s="144" customFormat="1" ht="15.75" customHeight="1" x14ac:dyDescent="0.25">
      <c r="B380"/>
      <c r="C380"/>
      <c r="D380"/>
      <c r="E380"/>
      <c r="F380"/>
      <c r="G380"/>
      <c r="H380" s="94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</row>
    <row r="381" spans="2:39" s="144" customFormat="1" ht="15.75" customHeight="1" x14ac:dyDescent="0.25">
      <c r="B381"/>
      <c r="C381"/>
      <c r="D381"/>
      <c r="E381"/>
      <c r="F381"/>
      <c r="G381"/>
      <c r="H381" s="94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</row>
    <row r="382" spans="2:39" s="144" customFormat="1" ht="15.75" customHeight="1" x14ac:dyDescent="0.25">
      <c r="B382"/>
      <c r="C382"/>
      <c r="D382"/>
      <c r="E382"/>
      <c r="F382"/>
      <c r="G382"/>
      <c r="H382" s="94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</row>
    <row r="383" spans="2:39" s="144" customFormat="1" ht="15.75" customHeight="1" x14ac:dyDescent="0.25">
      <c r="B383"/>
      <c r="C383"/>
      <c r="D383"/>
      <c r="E383"/>
      <c r="F383"/>
      <c r="G383"/>
      <c r="H383" s="94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</row>
    <row r="384" spans="2:39" s="144" customFormat="1" ht="15.75" customHeight="1" x14ac:dyDescent="0.25">
      <c r="B384"/>
      <c r="C384"/>
      <c r="D384"/>
      <c r="E384"/>
      <c r="F384"/>
      <c r="G384"/>
      <c r="H384" s="9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</row>
    <row r="385" spans="2:39" s="144" customFormat="1" ht="15.75" customHeight="1" x14ac:dyDescent="0.25">
      <c r="B385"/>
      <c r="C385"/>
      <c r="D385"/>
      <c r="E385"/>
      <c r="F385"/>
      <c r="G385"/>
      <c r="H385" s="94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</row>
    <row r="386" spans="2:39" s="144" customFormat="1" ht="15.75" customHeight="1" x14ac:dyDescent="0.25">
      <c r="B386"/>
      <c r="C386"/>
      <c r="D386"/>
      <c r="E386"/>
      <c r="F386"/>
      <c r="G386"/>
      <c r="H386" s="94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</row>
    <row r="387" spans="2:39" s="144" customFormat="1" ht="15.75" customHeight="1" x14ac:dyDescent="0.25">
      <c r="B387"/>
      <c r="C387"/>
      <c r="D387"/>
      <c r="E387"/>
      <c r="F387"/>
      <c r="G387"/>
      <c r="H387" s="94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</row>
    <row r="388" spans="2:39" s="144" customFormat="1" ht="15.75" customHeight="1" x14ac:dyDescent="0.25">
      <c r="B388"/>
      <c r="C388"/>
      <c r="D388"/>
      <c r="E388"/>
      <c r="F388"/>
      <c r="G388"/>
      <c r="H388" s="94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</row>
    <row r="389" spans="2:39" s="144" customFormat="1" ht="15.75" customHeight="1" x14ac:dyDescent="0.25">
      <c r="B389"/>
      <c r="C389"/>
      <c r="D389"/>
      <c r="E389"/>
      <c r="F389"/>
      <c r="G389"/>
      <c r="H389" s="94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</row>
    <row r="390" spans="2:39" s="144" customFormat="1" ht="15.75" customHeight="1" x14ac:dyDescent="0.25">
      <c r="B390"/>
      <c r="C390"/>
      <c r="D390"/>
      <c r="E390"/>
      <c r="F390"/>
      <c r="G390"/>
      <c r="H390" s="94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</row>
    <row r="391" spans="2:39" s="144" customFormat="1" ht="15.75" customHeight="1" x14ac:dyDescent="0.25">
      <c r="B391"/>
      <c r="C391"/>
      <c r="D391"/>
      <c r="E391"/>
      <c r="F391"/>
      <c r="G391"/>
      <c r="H391" s="94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</row>
    <row r="392" spans="2:39" s="144" customFormat="1" ht="15.75" customHeight="1" x14ac:dyDescent="0.25">
      <c r="B392"/>
      <c r="C392"/>
      <c r="D392"/>
      <c r="E392"/>
      <c r="F392"/>
      <c r="G392"/>
      <c r="H392" s="94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</row>
    <row r="393" spans="2:39" s="144" customFormat="1" ht="15.75" customHeight="1" x14ac:dyDescent="0.25">
      <c r="B393"/>
      <c r="C393"/>
      <c r="D393"/>
      <c r="E393"/>
      <c r="F393"/>
      <c r="G393"/>
      <c r="H393" s="94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</row>
    <row r="394" spans="2:39" s="144" customFormat="1" ht="15.75" customHeight="1" x14ac:dyDescent="0.25">
      <c r="B394"/>
      <c r="C394"/>
      <c r="D394"/>
      <c r="E394"/>
      <c r="F394"/>
      <c r="G394"/>
      <c r="H394" s="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</row>
    <row r="395" spans="2:39" s="144" customFormat="1" ht="15.75" customHeight="1" x14ac:dyDescent="0.25">
      <c r="B395"/>
      <c r="C395"/>
      <c r="D395"/>
      <c r="E395"/>
      <c r="F395"/>
      <c r="G395"/>
      <c r="H395" s="94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</row>
    <row r="396" spans="2:39" s="144" customFormat="1" ht="15.75" customHeight="1" x14ac:dyDescent="0.25">
      <c r="B396"/>
      <c r="C396"/>
      <c r="D396"/>
      <c r="E396"/>
      <c r="F396"/>
      <c r="G396"/>
      <c r="H396" s="94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</row>
    <row r="397" spans="2:39" s="144" customFormat="1" ht="15.75" customHeight="1" x14ac:dyDescent="0.25">
      <c r="B397"/>
      <c r="C397"/>
      <c r="D397"/>
      <c r="E397"/>
      <c r="F397"/>
      <c r="G397"/>
      <c r="H397" s="94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</row>
    <row r="398" spans="2:39" s="144" customFormat="1" ht="15.75" customHeight="1" x14ac:dyDescent="0.25">
      <c r="B398"/>
      <c r="C398"/>
      <c r="D398"/>
      <c r="E398"/>
      <c r="F398"/>
      <c r="G398"/>
      <c r="H398" s="94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</row>
    <row r="399" spans="2:39" s="144" customFormat="1" ht="15.75" customHeight="1" x14ac:dyDescent="0.25">
      <c r="B399"/>
      <c r="C399"/>
      <c r="D399"/>
      <c r="E399"/>
      <c r="F399"/>
      <c r="G399"/>
      <c r="H399" s="94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</row>
    <row r="400" spans="2:39" s="144" customFormat="1" ht="15.75" customHeight="1" x14ac:dyDescent="0.25">
      <c r="B400"/>
      <c r="C400"/>
      <c r="D400"/>
      <c r="E400"/>
      <c r="F400"/>
      <c r="G400"/>
      <c r="H400" s="94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</row>
    <row r="401" spans="2:39" s="144" customFormat="1" ht="15.75" customHeight="1" x14ac:dyDescent="0.25">
      <c r="B401"/>
      <c r="C401"/>
      <c r="D401"/>
      <c r="E401"/>
      <c r="F401"/>
      <c r="G401"/>
      <c r="H401" s="94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</row>
    <row r="402" spans="2:39" s="144" customFormat="1" ht="15.75" customHeight="1" x14ac:dyDescent="0.25">
      <c r="B402"/>
      <c r="C402"/>
      <c r="D402"/>
      <c r="E402"/>
      <c r="F402"/>
      <c r="G402"/>
      <c r="H402" s="94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</row>
    <row r="403" spans="2:39" s="144" customFormat="1" ht="15.75" customHeight="1" x14ac:dyDescent="0.25">
      <c r="B403"/>
      <c r="C403"/>
      <c r="D403"/>
      <c r="E403"/>
      <c r="F403"/>
      <c r="G403"/>
      <c r="H403" s="94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</row>
    <row r="404" spans="2:39" s="144" customFormat="1" ht="15.75" customHeight="1" x14ac:dyDescent="0.25">
      <c r="B404"/>
      <c r="C404"/>
      <c r="D404"/>
      <c r="E404"/>
      <c r="F404"/>
      <c r="G404"/>
      <c r="H404" s="9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</row>
    <row r="405" spans="2:39" s="144" customFormat="1" ht="15.75" customHeight="1" x14ac:dyDescent="0.25">
      <c r="B405"/>
      <c r="C405"/>
      <c r="D405"/>
      <c r="E405"/>
      <c r="F405"/>
      <c r="G405"/>
      <c r="H405" s="94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</row>
    <row r="406" spans="2:39" s="144" customFormat="1" ht="15.75" customHeight="1" x14ac:dyDescent="0.25">
      <c r="B406"/>
      <c r="C406"/>
      <c r="D406"/>
      <c r="E406"/>
      <c r="F406"/>
      <c r="G406"/>
      <c r="H406" s="94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</row>
    <row r="407" spans="2:39" s="144" customFormat="1" ht="15.75" customHeight="1" x14ac:dyDescent="0.25">
      <c r="B407"/>
      <c r="C407"/>
      <c r="D407"/>
      <c r="E407"/>
      <c r="F407"/>
      <c r="G407"/>
      <c r="H407" s="94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</row>
    <row r="408" spans="2:39" s="144" customFormat="1" ht="15.75" customHeight="1" x14ac:dyDescent="0.25">
      <c r="B408"/>
      <c r="C408"/>
      <c r="D408"/>
      <c r="E408"/>
      <c r="F408"/>
      <c r="G408"/>
      <c r="H408" s="94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</row>
    <row r="409" spans="2:39" s="144" customFormat="1" ht="15.75" customHeight="1" x14ac:dyDescent="0.25">
      <c r="B409"/>
      <c r="C409"/>
      <c r="D409"/>
      <c r="E409"/>
      <c r="F409"/>
      <c r="G409"/>
      <c r="H409" s="94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</row>
    <row r="410" spans="2:39" s="144" customFormat="1" ht="15.75" customHeight="1" x14ac:dyDescent="0.25">
      <c r="B410"/>
      <c r="C410"/>
      <c r="D410"/>
      <c r="E410"/>
      <c r="F410"/>
      <c r="G410"/>
      <c r="H410" s="94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</row>
    <row r="411" spans="2:39" s="144" customFormat="1" ht="15.75" customHeight="1" x14ac:dyDescent="0.25">
      <c r="B411"/>
      <c r="C411"/>
      <c r="D411"/>
      <c r="E411"/>
      <c r="F411"/>
      <c r="G411"/>
      <c r="H411" s="94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</row>
    <row r="412" spans="2:39" s="144" customFormat="1" ht="15.75" customHeight="1" x14ac:dyDescent="0.25">
      <c r="B412"/>
      <c r="C412"/>
      <c r="D412"/>
      <c r="E412"/>
      <c r="F412"/>
      <c r="G412"/>
      <c r="H412" s="94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</row>
    <row r="413" spans="2:39" s="144" customFormat="1" ht="15.75" customHeight="1" x14ac:dyDescent="0.25">
      <c r="B413"/>
      <c r="C413"/>
      <c r="D413"/>
      <c r="E413"/>
      <c r="F413"/>
      <c r="G413"/>
      <c r="H413" s="94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</row>
    <row r="414" spans="2:39" s="144" customFormat="1" ht="15.75" customHeight="1" x14ac:dyDescent="0.25">
      <c r="B414"/>
      <c r="C414"/>
      <c r="D414"/>
      <c r="E414"/>
      <c r="F414"/>
      <c r="G414"/>
      <c r="H414" s="9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</row>
    <row r="415" spans="2:39" s="144" customFormat="1" ht="15.75" customHeight="1" x14ac:dyDescent="0.25">
      <c r="B415"/>
      <c r="C415"/>
      <c r="D415"/>
      <c r="E415"/>
      <c r="F415"/>
      <c r="G415"/>
      <c r="H415" s="94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</row>
    <row r="416" spans="2:39" s="144" customFormat="1" ht="15.75" customHeight="1" x14ac:dyDescent="0.25">
      <c r="B416"/>
      <c r="C416"/>
      <c r="D416"/>
      <c r="E416"/>
      <c r="F416"/>
      <c r="G416"/>
      <c r="H416" s="94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</row>
    <row r="417" spans="2:39" s="144" customFormat="1" ht="15.75" customHeight="1" x14ac:dyDescent="0.25">
      <c r="B417"/>
      <c r="C417"/>
      <c r="D417"/>
      <c r="E417"/>
      <c r="F417"/>
      <c r="G417"/>
      <c r="H417" s="94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</row>
    <row r="418" spans="2:39" s="144" customFormat="1" ht="15.75" customHeight="1" x14ac:dyDescent="0.25">
      <c r="B418"/>
      <c r="C418"/>
      <c r="D418"/>
      <c r="E418"/>
      <c r="F418"/>
      <c r="G418"/>
      <c r="H418" s="94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</row>
    <row r="419" spans="2:39" s="144" customFormat="1" ht="15.75" customHeight="1" x14ac:dyDescent="0.25">
      <c r="B419"/>
      <c r="C419"/>
      <c r="D419"/>
      <c r="E419"/>
      <c r="F419"/>
      <c r="G419"/>
      <c r="H419" s="94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</row>
    <row r="420" spans="2:39" s="144" customFormat="1" ht="15.75" customHeight="1" x14ac:dyDescent="0.25">
      <c r="B420"/>
      <c r="C420"/>
      <c r="D420"/>
      <c r="E420"/>
      <c r="F420"/>
      <c r="G420"/>
      <c r="H420" s="94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</row>
    <row r="421" spans="2:39" s="144" customFormat="1" ht="15.75" customHeight="1" x14ac:dyDescent="0.25">
      <c r="B421"/>
      <c r="C421"/>
      <c r="D421"/>
      <c r="E421"/>
      <c r="F421"/>
      <c r="G421"/>
      <c r="H421" s="94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</row>
    <row r="422" spans="2:39" s="144" customFormat="1" ht="15.75" customHeight="1" x14ac:dyDescent="0.25">
      <c r="B422"/>
      <c r="C422"/>
      <c r="D422"/>
      <c r="E422"/>
      <c r="F422"/>
      <c r="G422"/>
      <c r="H422" s="94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</row>
    <row r="423" spans="2:39" s="144" customFormat="1" ht="15.75" customHeight="1" x14ac:dyDescent="0.25">
      <c r="B423"/>
      <c r="C423"/>
      <c r="D423"/>
      <c r="E423"/>
      <c r="F423"/>
      <c r="G423"/>
      <c r="H423" s="94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</row>
    <row r="424" spans="2:39" s="144" customFormat="1" ht="15.75" customHeight="1" x14ac:dyDescent="0.25">
      <c r="B424"/>
      <c r="C424"/>
      <c r="D424"/>
      <c r="E424"/>
      <c r="F424"/>
      <c r="G424"/>
      <c r="H424" s="9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</row>
    <row r="425" spans="2:39" s="144" customFormat="1" ht="15.75" customHeight="1" x14ac:dyDescent="0.25">
      <c r="B425"/>
      <c r="C425"/>
      <c r="D425"/>
      <c r="E425"/>
      <c r="F425"/>
      <c r="G425"/>
      <c r="H425" s="94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</row>
    <row r="426" spans="2:39" s="144" customFormat="1" ht="15.75" customHeight="1" x14ac:dyDescent="0.25">
      <c r="B426"/>
      <c r="C426"/>
      <c r="D426"/>
      <c r="E426"/>
      <c r="F426"/>
      <c r="G426"/>
      <c r="H426" s="94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</row>
    <row r="427" spans="2:39" s="144" customFormat="1" ht="15.75" customHeight="1" x14ac:dyDescent="0.25">
      <c r="B427"/>
      <c r="C427"/>
      <c r="D427"/>
      <c r="E427"/>
      <c r="F427"/>
      <c r="G427"/>
      <c r="H427" s="94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</row>
    <row r="428" spans="2:39" s="144" customFormat="1" ht="15.75" customHeight="1" x14ac:dyDescent="0.25">
      <c r="B428"/>
      <c r="C428"/>
      <c r="D428"/>
      <c r="E428"/>
      <c r="F428"/>
      <c r="G428"/>
      <c r="H428" s="94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</row>
    <row r="429" spans="2:39" s="144" customFormat="1" ht="15.75" customHeight="1" x14ac:dyDescent="0.25">
      <c r="B429"/>
      <c r="C429"/>
      <c r="D429"/>
      <c r="E429"/>
      <c r="F429"/>
      <c r="G429"/>
      <c r="H429" s="94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</row>
    <row r="430" spans="2:39" s="144" customFormat="1" ht="15.75" customHeight="1" x14ac:dyDescent="0.25">
      <c r="B430"/>
      <c r="C430"/>
      <c r="D430"/>
      <c r="E430"/>
      <c r="F430"/>
      <c r="G430"/>
      <c r="H430" s="94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</row>
    <row r="431" spans="2:39" s="144" customFormat="1" ht="15.75" customHeight="1" x14ac:dyDescent="0.25">
      <c r="B431"/>
      <c r="C431"/>
      <c r="D431"/>
      <c r="E431"/>
      <c r="F431"/>
      <c r="G431"/>
      <c r="H431" s="94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</row>
    <row r="432" spans="2:39" s="144" customFormat="1" ht="15.75" customHeight="1" x14ac:dyDescent="0.25">
      <c r="B432"/>
      <c r="C432"/>
      <c r="D432"/>
      <c r="E432"/>
      <c r="F432"/>
      <c r="G432"/>
      <c r="H432" s="94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</row>
    <row r="433" spans="2:39" s="144" customFormat="1" ht="15.75" customHeight="1" x14ac:dyDescent="0.25">
      <c r="B433"/>
      <c r="C433"/>
      <c r="D433"/>
      <c r="E433"/>
      <c r="F433"/>
      <c r="G433"/>
      <c r="H433" s="94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</row>
    <row r="434" spans="2:39" s="144" customFormat="1" ht="15.75" customHeight="1" x14ac:dyDescent="0.25">
      <c r="B434"/>
      <c r="C434"/>
      <c r="D434"/>
      <c r="E434"/>
      <c r="F434"/>
      <c r="G434"/>
      <c r="H434" s="9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</row>
    <row r="435" spans="2:39" s="144" customFormat="1" ht="15.75" customHeight="1" x14ac:dyDescent="0.25">
      <c r="B435"/>
      <c r="C435"/>
      <c r="D435"/>
      <c r="E435"/>
      <c r="F435"/>
      <c r="G435"/>
      <c r="H435" s="94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</row>
    <row r="436" spans="2:39" s="144" customFormat="1" ht="15.75" customHeight="1" x14ac:dyDescent="0.25">
      <c r="B436"/>
      <c r="C436"/>
      <c r="D436"/>
      <c r="E436"/>
      <c r="F436"/>
      <c r="G436"/>
      <c r="H436" s="94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</row>
    <row r="437" spans="2:39" s="144" customFormat="1" ht="15.75" customHeight="1" x14ac:dyDescent="0.25">
      <c r="B437"/>
      <c r="C437"/>
      <c r="D437"/>
      <c r="E437"/>
      <c r="F437"/>
      <c r="G437"/>
      <c r="H437" s="94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</row>
    <row r="438" spans="2:39" s="144" customFormat="1" ht="15.75" customHeight="1" x14ac:dyDescent="0.25">
      <c r="B438"/>
      <c r="C438"/>
      <c r="D438"/>
      <c r="E438"/>
      <c r="F438"/>
      <c r="G438"/>
      <c r="H438" s="94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</row>
    <row r="439" spans="2:39" s="144" customFormat="1" ht="15.75" customHeight="1" x14ac:dyDescent="0.25">
      <c r="B439"/>
      <c r="C439"/>
      <c r="D439"/>
      <c r="E439"/>
      <c r="F439"/>
      <c r="G439"/>
      <c r="H439" s="94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</row>
    <row r="440" spans="2:39" s="144" customFormat="1" ht="15.75" customHeight="1" x14ac:dyDescent="0.25">
      <c r="B440"/>
      <c r="C440"/>
      <c r="D440"/>
      <c r="E440"/>
      <c r="F440"/>
      <c r="G440"/>
      <c r="H440" s="94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</row>
    <row r="441" spans="2:39" s="144" customFormat="1" ht="15.75" customHeight="1" x14ac:dyDescent="0.25">
      <c r="B441"/>
      <c r="C441"/>
      <c r="D441"/>
      <c r="E441"/>
      <c r="F441"/>
      <c r="G441"/>
      <c r="H441" s="94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</row>
    <row r="442" spans="2:39" s="144" customFormat="1" ht="15.75" customHeight="1" x14ac:dyDescent="0.25">
      <c r="B442"/>
      <c r="C442"/>
      <c r="D442"/>
      <c r="E442"/>
      <c r="F442"/>
      <c r="G442"/>
      <c r="H442" s="94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</row>
    <row r="443" spans="2:39" s="144" customFormat="1" ht="15.75" customHeight="1" x14ac:dyDescent="0.25">
      <c r="B443"/>
      <c r="C443"/>
      <c r="D443"/>
      <c r="E443"/>
      <c r="F443"/>
      <c r="G443"/>
      <c r="H443" s="94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</row>
    <row r="444" spans="2:39" s="144" customFormat="1" ht="15.75" customHeight="1" x14ac:dyDescent="0.25">
      <c r="B444"/>
      <c r="C444"/>
      <c r="D444"/>
      <c r="E444"/>
      <c r="F444"/>
      <c r="G444"/>
      <c r="H444" s="9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</row>
    <row r="445" spans="2:39" s="144" customFormat="1" ht="15.75" customHeight="1" x14ac:dyDescent="0.25">
      <c r="B445"/>
      <c r="C445"/>
      <c r="D445"/>
      <c r="E445"/>
      <c r="F445"/>
      <c r="G445"/>
      <c r="H445" s="94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</row>
    <row r="446" spans="2:39" s="144" customFormat="1" ht="15.75" customHeight="1" x14ac:dyDescent="0.25">
      <c r="B446"/>
      <c r="C446"/>
      <c r="D446"/>
      <c r="E446"/>
      <c r="F446"/>
      <c r="G446"/>
      <c r="H446" s="94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</row>
    <row r="447" spans="2:39" s="144" customFormat="1" ht="15.75" customHeight="1" x14ac:dyDescent="0.25">
      <c r="B447"/>
      <c r="C447"/>
      <c r="D447"/>
      <c r="E447"/>
      <c r="F447"/>
      <c r="G447"/>
      <c r="H447" s="94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</row>
    <row r="448" spans="2:39" s="144" customFormat="1" ht="15.75" customHeight="1" x14ac:dyDescent="0.25">
      <c r="B448"/>
      <c r="C448"/>
      <c r="D448"/>
      <c r="E448"/>
      <c r="F448"/>
      <c r="G448"/>
      <c r="H448" s="94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</row>
    <row r="449" spans="2:39" s="144" customFormat="1" ht="15.75" customHeight="1" x14ac:dyDescent="0.25">
      <c r="B449"/>
      <c r="C449"/>
      <c r="D449"/>
      <c r="E449"/>
      <c r="F449"/>
      <c r="G449"/>
      <c r="H449" s="94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</row>
    <row r="450" spans="2:39" s="144" customFormat="1" ht="15.75" customHeight="1" x14ac:dyDescent="0.25">
      <c r="B450"/>
      <c r="C450"/>
      <c r="D450"/>
      <c r="E450"/>
      <c r="F450"/>
      <c r="G450"/>
      <c r="H450" s="94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</row>
    <row r="451" spans="2:39" s="144" customFormat="1" ht="15.75" customHeight="1" x14ac:dyDescent="0.25">
      <c r="B451"/>
      <c r="C451"/>
      <c r="D451"/>
      <c r="E451"/>
      <c r="F451"/>
      <c r="G451"/>
      <c r="H451" s="94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</row>
    <row r="452" spans="2:39" s="144" customFormat="1" ht="15.75" customHeight="1" x14ac:dyDescent="0.25">
      <c r="B452"/>
      <c r="C452"/>
      <c r="D452"/>
      <c r="E452"/>
      <c r="F452"/>
      <c r="G452"/>
      <c r="H452" s="94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</row>
    <row r="453" spans="2:39" s="144" customFormat="1" ht="15.75" customHeight="1" x14ac:dyDescent="0.25">
      <c r="B453"/>
      <c r="C453"/>
      <c r="D453"/>
      <c r="E453"/>
      <c r="F453"/>
      <c r="G453"/>
      <c r="H453" s="94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</row>
    <row r="454" spans="2:39" s="144" customFormat="1" ht="15.75" customHeight="1" x14ac:dyDescent="0.25">
      <c r="B454"/>
      <c r="C454"/>
      <c r="D454"/>
      <c r="E454"/>
      <c r="F454"/>
      <c r="G454"/>
      <c r="H454" s="9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</row>
    <row r="455" spans="2:39" s="144" customFormat="1" ht="15.75" customHeight="1" x14ac:dyDescent="0.25">
      <c r="B455"/>
      <c r="C455"/>
      <c r="D455"/>
      <c r="E455"/>
      <c r="F455"/>
      <c r="G455"/>
      <c r="H455" s="94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</row>
    <row r="456" spans="2:39" s="144" customFormat="1" ht="15.75" customHeight="1" x14ac:dyDescent="0.25">
      <c r="B456"/>
      <c r="C456"/>
      <c r="D456"/>
      <c r="E456"/>
      <c r="F456"/>
      <c r="G456"/>
      <c r="H456" s="94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</row>
    <row r="457" spans="2:39" s="144" customFormat="1" ht="15.75" customHeight="1" x14ac:dyDescent="0.25">
      <c r="B457"/>
      <c r="C457"/>
      <c r="D457"/>
      <c r="E457"/>
      <c r="F457"/>
      <c r="G457"/>
      <c r="H457" s="94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</row>
    <row r="458" spans="2:39" s="144" customFormat="1" ht="15.75" customHeight="1" x14ac:dyDescent="0.25">
      <c r="B458"/>
      <c r="C458"/>
      <c r="D458"/>
      <c r="E458"/>
      <c r="F458"/>
      <c r="G458"/>
      <c r="H458" s="94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</row>
    <row r="459" spans="2:39" s="144" customFormat="1" ht="15.75" customHeight="1" x14ac:dyDescent="0.25">
      <c r="B459"/>
      <c r="C459"/>
      <c r="D459"/>
      <c r="E459"/>
      <c r="F459"/>
      <c r="G459"/>
      <c r="H459" s="94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</row>
    <row r="460" spans="2:39" s="144" customFormat="1" ht="15.75" customHeight="1" x14ac:dyDescent="0.25">
      <c r="B460"/>
      <c r="C460"/>
      <c r="D460"/>
      <c r="E460"/>
      <c r="F460"/>
      <c r="G460"/>
      <c r="H460" s="94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</row>
    <row r="461" spans="2:39" s="144" customFormat="1" ht="15.75" customHeight="1" x14ac:dyDescent="0.25">
      <c r="B461"/>
      <c r="C461"/>
      <c r="D461"/>
      <c r="E461"/>
      <c r="F461"/>
      <c r="G461"/>
      <c r="H461" s="94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</row>
    <row r="462" spans="2:39" s="144" customFormat="1" ht="15.75" customHeight="1" x14ac:dyDescent="0.25">
      <c r="B462"/>
      <c r="C462"/>
      <c r="D462"/>
      <c r="E462"/>
      <c r="F462"/>
      <c r="G462"/>
      <c r="H462" s="94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</row>
    <row r="463" spans="2:39" s="144" customFormat="1" ht="15.75" customHeight="1" x14ac:dyDescent="0.25">
      <c r="B463"/>
      <c r="C463"/>
      <c r="D463"/>
      <c r="E463"/>
      <c r="F463"/>
      <c r="G463"/>
      <c r="H463" s="94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</row>
    <row r="464" spans="2:39" s="144" customFormat="1" ht="15.75" customHeight="1" x14ac:dyDescent="0.25">
      <c r="B464"/>
      <c r="C464"/>
      <c r="D464"/>
      <c r="E464"/>
      <c r="F464"/>
      <c r="G464"/>
      <c r="H464" s="9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</row>
    <row r="465" spans="2:39" s="144" customFormat="1" ht="15.75" customHeight="1" x14ac:dyDescent="0.25">
      <c r="B465"/>
      <c r="C465"/>
      <c r="D465"/>
      <c r="E465"/>
      <c r="F465"/>
      <c r="G465"/>
      <c r="H465" s="94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</row>
    <row r="466" spans="2:39" s="144" customFormat="1" ht="15.75" customHeight="1" x14ac:dyDescent="0.25">
      <c r="B466"/>
      <c r="C466"/>
      <c r="D466"/>
      <c r="E466"/>
      <c r="F466"/>
      <c r="G466"/>
      <c r="H466" s="94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</row>
    <row r="467" spans="2:39" s="144" customFormat="1" ht="15.75" customHeight="1" x14ac:dyDescent="0.25">
      <c r="B467"/>
      <c r="C467"/>
      <c r="D467"/>
      <c r="E467"/>
      <c r="F467"/>
      <c r="G467"/>
      <c r="H467" s="94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</row>
    <row r="468" spans="2:39" s="144" customFormat="1" ht="15.75" customHeight="1" x14ac:dyDescent="0.25">
      <c r="B468"/>
      <c r="C468"/>
      <c r="D468"/>
      <c r="E468"/>
      <c r="F468"/>
      <c r="G468"/>
      <c r="H468" s="94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</row>
    <row r="469" spans="2:39" s="144" customFormat="1" ht="15.75" customHeight="1" x14ac:dyDescent="0.25">
      <c r="B469"/>
      <c r="C469"/>
      <c r="D469"/>
      <c r="E469"/>
      <c r="F469"/>
      <c r="G469"/>
      <c r="H469" s="94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</row>
    <row r="470" spans="2:39" s="144" customFormat="1" ht="15.75" customHeight="1" x14ac:dyDescent="0.25">
      <c r="B470"/>
      <c r="C470"/>
      <c r="D470"/>
      <c r="E470"/>
      <c r="F470"/>
      <c r="G470"/>
      <c r="H470" s="94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</row>
    <row r="471" spans="2:39" s="144" customFormat="1" ht="15.75" customHeight="1" x14ac:dyDescent="0.25">
      <c r="B471"/>
      <c r="C471"/>
      <c r="D471"/>
      <c r="E471"/>
      <c r="F471"/>
      <c r="G471"/>
      <c r="H471" s="94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</row>
    <row r="472" spans="2:39" s="144" customFormat="1" ht="15.75" customHeight="1" x14ac:dyDescent="0.25">
      <c r="B472"/>
      <c r="C472"/>
      <c r="D472"/>
      <c r="E472"/>
      <c r="F472"/>
      <c r="G472"/>
      <c r="H472" s="94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</row>
    <row r="473" spans="2:39" s="144" customFormat="1" ht="15.75" customHeight="1" x14ac:dyDescent="0.25">
      <c r="B473"/>
      <c r="C473"/>
      <c r="D473"/>
      <c r="E473"/>
      <c r="F473"/>
      <c r="G473"/>
      <c r="H473" s="94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</row>
    <row r="474" spans="2:39" s="144" customFormat="1" ht="15.75" customHeight="1" x14ac:dyDescent="0.25">
      <c r="B474"/>
      <c r="C474"/>
      <c r="D474"/>
      <c r="E474"/>
      <c r="F474"/>
      <c r="G474"/>
      <c r="H474" s="9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</row>
    <row r="475" spans="2:39" s="144" customFormat="1" ht="15.75" customHeight="1" x14ac:dyDescent="0.25">
      <c r="B475"/>
      <c r="C475"/>
      <c r="D475"/>
      <c r="E475"/>
      <c r="F475"/>
      <c r="G475"/>
      <c r="H475" s="94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</row>
    <row r="476" spans="2:39" s="144" customFormat="1" ht="15.75" customHeight="1" x14ac:dyDescent="0.25">
      <c r="B476"/>
      <c r="C476"/>
      <c r="D476"/>
      <c r="E476"/>
      <c r="F476"/>
      <c r="G476"/>
      <c r="H476" s="94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</row>
    <row r="477" spans="2:39" s="144" customFormat="1" ht="15.75" customHeight="1" x14ac:dyDescent="0.25">
      <c r="B477"/>
      <c r="C477"/>
      <c r="D477"/>
      <c r="E477"/>
      <c r="F477"/>
      <c r="G477"/>
      <c r="H477" s="94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</row>
    <row r="478" spans="2:39" s="144" customFormat="1" ht="15.75" customHeight="1" x14ac:dyDescent="0.25">
      <c r="B478"/>
      <c r="C478"/>
      <c r="D478"/>
      <c r="E478"/>
      <c r="F478"/>
      <c r="G478"/>
      <c r="H478" s="94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</row>
    <row r="479" spans="2:39" s="144" customFormat="1" ht="15.75" customHeight="1" x14ac:dyDescent="0.25">
      <c r="B479"/>
      <c r="C479"/>
      <c r="D479"/>
      <c r="E479"/>
      <c r="F479"/>
      <c r="G479"/>
      <c r="H479" s="94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</row>
    <row r="480" spans="2:39" s="144" customFormat="1" ht="15.75" customHeight="1" x14ac:dyDescent="0.25">
      <c r="B480"/>
      <c r="C480"/>
      <c r="D480"/>
      <c r="E480"/>
      <c r="F480"/>
      <c r="G480"/>
      <c r="H480" s="94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</row>
    <row r="481" spans="2:39" s="144" customFormat="1" ht="15.75" customHeight="1" x14ac:dyDescent="0.25">
      <c r="B481"/>
      <c r="C481"/>
      <c r="D481"/>
      <c r="E481"/>
      <c r="F481"/>
      <c r="G481"/>
      <c r="H481" s="94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</row>
    <row r="482" spans="2:39" s="144" customFormat="1" ht="15.75" customHeight="1" x14ac:dyDescent="0.25">
      <c r="B482"/>
      <c r="C482"/>
      <c r="D482"/>
      <c r="E482"/>
      <c r="F482"/>
      <c r="G482"/>
      <c r="H482" s="94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</row>
    <row r="483" spans="2:39" s="144" customFormat="1" ht="15.75" customHeight="1" x14ac:dyDescent="0.25">
      <c r="B483"/>
      <c r="C483"/>
      <c r="D483"/>
      <c r="E483"/>
      <c r="F483"/>
      <c r="G483"/>
      <c r="H483" s="94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</row>
    <row r="484" spans="2:39" s="144" customFormat="1" ht="15.75" customHeight="1" x14ac:dyDescent="0.25">
      <c r="B484"/>
      <c r="C484"/>
      <c r="D484"/>
      <c r="E484"/>
      <c r="F484"/>
      <c r="G484"/>
      <c r="H484" s="9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</row>
    <row r="485" spans="2:39" s="144" customFormat="1" ht="15.75" customHeight="1" x14ac:dyDescent="0.25">
      <c r="B485"/>
      <c r="C485"/>
      <c r="D485"/>
      <c r="E485"/>
      <c r="F485"/>
      <c r="G485"/>
      <c r="H485" s="94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</row>
    <row r="486" spans="2:39" s="144" customFormat="1" ht="15.75" customHeight="1" x14ac:dyDescent="0.25">
      <c r="B486"/>
      <c r="C486"/>
      <c r="D486"/>
      <c r="E486"/>
      <c r="F486"/>
      <c r="G486"/>
      <c r="H486" s="94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</row>
    <row r="487" spans="2:39" s="144" customFormat="1" ht="15.75" customHeight="1" x14ac:dyDescent="0.25">
      <c r="B487"/>
      <c r="C487"/>
      <c r="D487"/>
      <c r="E487"/>
      <c r="F487"/>
      <c r="G487"/>
      <c r="H487" s="94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</row>
    <row r="488" spans="2:39" s="144" customFormat="1" ht="15.75" customHeight="1" x14ac:dyDescent="0.25">
      <c r="B488"/>
      <c r="C488"/>
      <c r="D488"/>
      <c r="E488"/>
      <c r="F488"/>
      <c r="G488"/>
      <c r="H488" s="94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</row>
    <row r="489" spans="2:39" s="144" customFormat="1" ht="15.75" customHeight="1" x14ac:dyDescent="0.25">
      <c r="B489"/>
      <c r="C489"/>
      <c r="D489"/>
      <c r="E489"/>
      <c r="F489"/>
      <c r="G489"/>
      <c r="H489" s="94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</row>
    <row r="490" spans="2:39" s="144" customFormat="1" ht="15.75" customHeight="1" x14ac:dyDescent="0.25">
      <c r="B490"/>
      <c r="C490"/>
      <c r="D490"/>
      <c r="E490"/>
      <c r="F490"/>
      <c r="G490"/>
      <c r="H490" s="94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</row>
    <row r="491" spans="2:39" s="144" customFormat="1" ht="15.75" customHeight="1" x14ac:dyDescent="0.25">
      <c r="B491"/>
      <c r="C491"/>
      <c r="D491"/>
      <c r="E491"/>
      <c r="F491"/>
      <c r="G491"/>
      <c r="H491" s="94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</row>
    <row r="492" spans="2:39" s="144" customFormat="1" ht="15.75" customHeight="1" x14ac:dyDescent="0.25">
      <c r="B492"/>
      <c r="C492"/>
      <c r="D492"/>
      <c r="E492"/>
      <c r="F492"/>
      <c r="G492"/>
      <c r="H492" s="94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</row>
    <row r="493" spans="2:39" s="144" customFormat="1" ht="15.75" customHeight="1" x14ac:dyDescent="0.25">
      <c r="B493"/>
      <c r="C493"/>
      <c r="D493"/>
      <c r="E493"/>
      <c r="F493"/>
      <c r="G493"/>
      <c r="H493" s="94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</row>
    <row r="494" spans="2:39" s="144" customFormat="1" ht="15.75" customHeight="1" x14ac:dyDescent="0.25">
      <c r="B494"/>
      <c r="C494"/>
      <c r="D494"/>
      <c r="E494"/>
      <c r="F494"/>
      <c r="G494"/>
      <c r="H494" s="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</row>
    <row r="495" spans="2:39" s="144" customFormat="1" ht="15.75" customHeight="1" x14ac:dyDescent="0.25">
      <c r="B495"/>
      <c r="C495"/>
      <c r="D495"/>
      <c r="E495"/>
      <c r="F495"/>
      <c r="G495"/>
      <c r="H495" s="94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</row>
    <row r="496" spans="2:39" s="144" customFormat="1" ht="15.75" customHeight="1" x14ac:dyDescent="0.25">
      <c r="B496"/>
      <c r="C496"/>
      <c r="D496"/>
      <c r="E496"/>
      <c r="F496"/>
      <c r="G496"/>
      <c r="H496" s="94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</row>
    <row r="497" spans="2:39" s="144" customFormat="1" ht="15.75" customHeight="1" x14ac:dyDescent="0.25">
      <c r="B497"/>
      <c r="C497"/>
      <c r="D497"/>
      <c r="E497"/>
      <c r="F497"/>
      <c r="G497"/>
      <c r="H497" s="94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</row>
    <row r="498" spans="2:39" s="144" customFormat="1" ht="15.75" customHeight="1" x14ac:dyDescent="0.25">
      <c r="B498"/>
      <c r="C498"/>
      <c r="D498"/>
      <c r="E498"/>
      <c r="F498"/>
      <c r="G498"/>
      <c r="H498" s="94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</row>
    <row r="499" spans="2:39" s="144" customFormat="1" ht="15.75" customHeight="1" x14ac:dyDescent="0.25">
      <c r="B499"/>
      <c r="C499"/>
      <c r="D499"/>
      <c r="E499"/>
      <c r="F499"/>
      <c r="G499"/>
      <c r="H499" s="94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</row>
    <row r="500" spans="2:39" s="144" customFormat="1" ht="15.75" customHeight="1" x14ac:dyDescent="0.25">
      <c r="B500"/>
      <c r="C500"/>
      <c r="D500"/>
      <c r="E500"/>
      <c r="F500"/>
      <c r="G500"/>
      <c r="H500" s="94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</row>
    <row r="501" spans="2:39" s="144" customFormat="1" ht="15.75" customHeight="1" x14ac:dyDescent="0.25">
      <c r="B501"/>
      <c r="C501"/>
      <c r="D501"/>
      <c r="E501"/>
      <c r="F501"/>
      <c r="G501"/>
      <c r="H501" s="94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</row>
    <row r="502" spans="2:39" s="144" customFormat="1" ht="15.75" customHeight="1" x14ac:dyDescent="0.25">
      <c r="B502"/>
      <c r="C502"/>
      <c r="D502"/>
      <c r="E502"/>
      <c r="F502"/>
      <c r="G502"/>
      <c r="H502" s="94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</row>
    <row r="503" spans="2:39" s="144" customFormat="1" ht="15.75" customHeight="1" x14ac:dyDescent="0.25">
      <c r="B503"/>
      <c r="C503"/>
      <c r="D503"/>
      <c r="E503"/>
      <c r="F503"/>
      <c r="G503"/>
      <c r="H503" s="94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</row>
    <row r="504" spans="2:39" s="144" customFormat="1" ht="15.75" customHeight="1" x14ac:dyDescent="0.25">
      <c r="B504"/>
      <c r="C504"/>
      <c r="D504"/>
      <c r="E504"/>
      <c r="F504"/>
      <c r="G504"/>
      <c r="H504" s="9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</row>
    <row r="505" spans="2:39" s="144" customFormat="1" ht="15.75" customHeight="1" x14ac:dyDescent="0.25">
      <c r="B505"/>
      <c r="C505"/>
      <c r="D505"/>
      <c r="E505"/>
      <c r="F505"/>
      <c r="G505"/>
      <c r="H505" s="94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</row>
    <row r="506" spans="2:39" s="144" customFormat="1" ht="15.75" customHeight="1" x14ac:dyDescent="0.25">
      <c r="B506"/>
      <c r="C506"/>
      <c r="D506"/>
      <c r="E506"/>
      <c r="F506"/>
      <c r="G506"/>
      <c r="H506" s="94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</row>
    <row r="507" spans="2:39" s="144" customFormat="1" ht="15.75" customHeight="1" x14ac:dyDescent="0.25">
      <c r="B507"/>
      <c r="C507"/>
      <c r="D507"/>
      <c r="E507"/>
      <c r="F507"/>
      <c r="G507"/>
      <c r="H507" s="94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</row>
    <row r="508" spans="2:39" s="144" customFormat="1" ht="15.75" customHeight="1" x14ac:dyDescent="0.25">
      <c r="B508"/>
      <c r="C508"/>
      <c r="D508"/>
      <c r="E508"/>
      <c r="F508"/>
      <c r="G508"/>
      <c r="H508" s="94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</row>
    <row r="509" spans="2:39" s="144" customFormat="1" ht="15.75" customHeight="1" x14ac:dyDescent="0.25">
      <c r="B509"/>
      <c r="C509"/>
      <c r="D509"/>
      <c r="E509"/>
      <c r="F509"/>
      <c r="G509"/>
      <c r="H509" s="94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</row>
    <row r="510" spans="2:39" s="144" customFormat="1" ht="15.75" customHeight="1" x14ac:dyDescent="0.25">
      <c r="B510"/>
      <c r="C510"/>
      <c r="D510"/>
      <c r="E510"/>
      <c r="F510"/>
      <c r="G510"/>
      <c r="H510" s="94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</row>
    <row r="511" spans="2:39" s="144" customFormat="1" ht="15.75" customHeight="1" x14ac:dyDescent="0.25">
      <c r="B511"/>
      <c r="C511"/>
      <c r="D511"/>
      <c r="E511"/>
      <c r="F511"/>
      <c r="G511"/>
      <c r="H511" s="94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</row>
    <row r="512" spans="2:39" s="144" customFormat="1" ht="15.75" customHeight="1" x14ac:dyDescent="0.25">
      <c r="B512"/>
      <c r="C512"/>
      <c r="D512"/>
      <c r="E512"/>
      <c r="F512"/>
      <c r="G512"/>
      <c r="H512" s="94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</row>
    <row r="513" spans="2:39" s="144" customFormat="1" ht="15.75" customHeight="1" x14ac:dyDescent="0.25">
      <c r="B513"/>
      <c r="C513"/>
      <c r="D513"/>
      <c r="E513"/>
      <c r="F513"/>
      <c r="G513"/>
      <c r="H513" s="94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</row>
    <row r="514" spans="2:39" s="144" customFormat="1" ht="15.75" customHeight="1" x14ac:dyDescent="0.25">
      <c r="B514"/>
      <c r="C514"/>
      <c r="D514"/>
      <c r="E514"/>
      <c r="F514"/>
      <c r="G514"/>
      <c r="H514" s="9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</row>
    <row r="515" spans="2:39" s="144" customFormat="1" ht="15.75" customHeight="1" x14ac:dyDescent="0.25">
      <c r="B515"/>
      <c r="C515"/>
      <c r="D515"/>
      <c r="E515"/>
      <c r="F515"/>
      <c r="G515"/>
      <c r="H515" s="94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</row>
    <row r="516" spans="2:39" s="144" customFormat="1" ht="15.75" customHeight="1" x14ac:dyDescent="0.25">
      <c r="B516"/>
      <c r="C516"/>
      <c r="D516"/>
      <c r="E516"/>
      <c r="F516"/>
      <c r="G516"/>
      <c r="H516" s="94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</row>
    <row r="517" spans="2:39" s="144" customFormat="1" ht="15.75" customHeight="1" x14ac:dyDescent="0.25">
      <c r="B517"/>
      <c r="C517"/>
      <c r="D517"/>
      <c r="E517"/>
      <c r="F517"/>
      <c r="G517"/>
      <c r="H517" s="94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</row>
    <row r="518" spans="2:39" s="144" customFormat="1" ht="15.75" customHeight="1" x14ac:dyDescent="0.25">
      <c r="B518"/>
      <c r="C518"/>
      <c r="D518"/>
      <c r="E518"/>
      <c r="F518"/>
      <c r="G518"/>
      <c r="H518" s="94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</row>
    <row r="519" spans="2:39" s="144" customFormat="1" ht="15.75" customHeight="1" x14ac:dyDescent="0.25">
      <c r="B519"/>
      <c r="C519"/>
      <c r="D519"/>
      <c r="E519"/>
      <c r="F519"/>
      <c r="G519"/>
      <c r="H519" s="94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</row>
    <row r="520" spans="2:39" s="144" customFormat="1" ht="15.75" customHeight="1" x14ac:dyDescent="0.25">
      <c r="B520"/>
      <c r="C520"/>
      <c r="D520"/>
      <c r="E520"/>
      <c r="F520"/>
      <c r="G520"/>
      <c r="H520" s="94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</row>
    <row r="521" spans="2:39" s="144" customFormat="1" ht="15.75" customHeight="1" x14ac:dyDescent="0.25">
      <c r="B521"/>
      <c r="C521"/>
      <c r="D521"/>
      <c r="E521"/>
      <c r="F521"/>
      <c r="G521"/>
      <c r="H521" s="94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</row>
    <row r="522" spans="2:39" s="144" customFormat="1" ht="15.75" customHeight="1" x14ac:dyDescent="0.25">
      <c r="B522"/>
      <c r="C522"/>
      <c r="D522"/>
      <c r="E522"/>
      <c r="F522"/>
      <c r="G522"/>
      <c r="H522" s="94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</row>
    <row r="523" spans="2:39" s="144" customFormat="1" ht="15.75" customHeight="1" x14ac:dyDescent="0.25">
      <c r="B523"/>
      <c r="C523"/>
      <c r="D523"/>
      <c r="E523"/>
      <c r="F523"/>
      <c r="G523"/>
      <c r="H523" s="94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</row>
    <row r="524" spans="2:39" s="144" customFormat="1" ht="15.75" customHeight="1" x14ac:dyDescent="0.25">
      <c r="B524"/>
      <c r="C524"/>
      <c r="D524"/>
      <c r="E524"/>
      <c r="F524"/>
      <c r="G524"/>
      <c r="H524" s="9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</row>
    <row r="525" spans="2:39" s="144" customFormat="1" ht="15.75" customHeight="1" x14ac:dyDescent="0.25">
      <c r="B525"/>
      <c r="C525"/>
      <c r="D525"/>
      <c r="E525"/>
      <c r="F525"/>
      <c r="G525"/>
      <c r="H525" s="94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</row>
    <row r="526" spans="2:39" s="144" customFormat="1" ht="15.75" customHeight="1" x14ac:dyDescent="0.25">
      <c r="B526"/>
      <c r="C526"/>
      <c r="D526"/>
      <c r="E526"/>
      <c r="F526"/>
      <c r="G526"/>
      <c r="H526" s="94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</row>
    <row r="527" spans="2:39" s="144" customFormat="1" ht="15.75" customHeight="1" x14ac:dyDescent="0.25">
      <c r="B527"/>
      <c r="C527"/>
      <c r="D527"/>
      <c r="E527"/>
      <c r="F527"/>
      <c r="G527"/>
      <c r="H527" s="94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</row>
    <row r="528" spans="2:39" s="144" customFormat="1" ht="15.75" customHeight="1" x14ac:dyDescent="0.25">
      <c r="B528"/>
      <c r="C528"/>
      <c r="D528"/>
      <c r="E528"/>
      <c r="F528"/>
      <c r="G528"/>
      <c r="H528" s="94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</row>
    <row r="529" spans="2:39" s="144" customFormat="1" ht="15.75" customHeight="1" x14ac:dyDescent="0.25">
      <c r="B529"/>
      <c r="C529"/>
      <c r="D529"/>
      <c r="E529"/>
      <c r="F529"/>
      <c r="G529"/>
      <c r="H529" s="94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</row>
    <row r="530" spans="2:39" s="144" customFormat="1" ht="15.75" customHeight="1" x14ac:dyDescent="0.25">
      <c r="B530"/>
      <c r="C530"/>
      <c r="D530"/>
      <c r="E530"/>
      <c r="F530"/>
      <c r="G530"/>
      <c r="H530" s="94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</row>
    <row r="531" spans="2:39" s="144" customFormat="1" ht="15.75" customHeight="1" x14ac:dyDescent="0.25">
      <c r="B531"/>
      <c r="C531"/>
      <c r="D531"/>
      <c r="E531"/>
      <c r="F531"/>
      <c r="G531"/>
      <c r="H531" s="94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</row>
    <row r="532" spans="2:39" s="144" customFormat="1" ht="15.75" customHeight="1" x14ac:dyDescent="0.25">
      <c r="B532"/>
      <c r="C532"/>
      <c r="D532"/>
      <c r="E532"/>
      <c r="F532"/>
      <c r="G532"/>
      <c r="H532" s="94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</row>
    <row r="533" spans="2:39" s="144" customFormat="1" ht="15.75" customHeight="1" x14ac:dyDescent="0.25">
      <c r="B533"/>
      <c r="C533"/>
      <c r="D533"/>
      <c r="E533"/>
      <c r="F533"/>
      <c r="G533"/>
      <c r="H533" s="94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</row>
    <row r="534" spans="2:39" s="144" customFormat="1" ht="15.75" customHeight="1" x14ac:dyDescent="0.25">
      <c r="B534"/>
      <c r="C534"/>
      <c r="D534"/>
      <c r="E534"/>
      <c r="F534"/>
      <c r="G534"/>
      <c r="H534" s="9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</row>
    <row r="535" spans="2:39" s="144" customFormat="1" ht="15.75" customHeight="1" x14ac:dyDescent="0.25">
      <c r="B535"/>
      <c r="C535"/>
      <c r="D535"/>
      <c r="E535"/>
      <c r="F535"/>
      <c r="G535"/>
      <c r="H535" s="94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</row>
    <row r="536" spans="2:39" s="144" customFormat="1" ht="15.75" customHeight="1" x14ac:dyDescent="0.25">
      <c r="B536"/>
      <c r="C536"/>
      <c r="D536"/>
      <c r="E536"/>
      <c r="F536"/>
      <c r="G536"/>
      <c r="H536" s="94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</row>
    <row r="537" spans="2:39" s="144" customFormat="1" ht="15.75" customHeight="1" x14ac:dyDescent="0.25">
      <c r="B537"/>
      <c r="C537"/>
      <c r="D537"/>
      <c r="E537"/>
      <c r="F537"/>
      <c r="G537"/>
      <c r="H537" s="94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</row>
    <row r="538" spans="2:39" s="144" customFormat="1" ht="15.75" customHeight="1" x14ac:dyDescent="0.25">
      <c r="B538"/>
      <c r="C538"/>
      <c r="D538"/>
      <c r="E538"/>
      <c r="F538"/>
      <c r="G538"/>
      <c r="H538" s="94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</row>
    <row r="539" spans="2:39" s="144" customFormat="1" ht="15.75" customHeight="1" x14ac:dyDescent="0.25">
      <c r="B539"/>
      <c r="C539"/>
      <c r="D539"/>
      <c r="E539"/>
      <c r="F539"/>
      <c r="G539"/>
      <c r="H539" s="94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</row>
    <row r="540" spans="2:39" s="144" customFormat="1" ht="15.75" customHeight="1" x14ac:dyDescent="0.25">
      <c r="B540"/>
      <c r="C540"/>
      <c r="D540"/>
      <c r="E540"/>
      <c r="F540"/>
      <c r="G540"/>
      <c r="H540" s="94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</row>
    <row r="541" spans="2:39" s="144" customFormat="1" ht="15.75" customHeight="1" x14ac:dyDescent="0.25">
      <c r="B541"/>
      <c r="C541"/>
      <c r="D541"/>
      <c r="E541"/>
      <c r="F541"/>
      <c r="G541"/>
      <c r="H541" s="94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</row>
    <row r="542" spans="2:39" s="144" customFormat="1" ht="15.75" customHeight="1" x14ac:dyDescent="0.25">
      <c r="B542"/>
      <c r="C542"/>
      <c r="D542"/>
      <c r="E542"/>
      <c r="F542"/>
      <c r="G542"/>
      <c r="H542" s="94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</row>
    <row r="543" spans="2:39" s="144" customFormat="1" ht="15.75" customHeight="1" x14ac:dyDescent="0.25">
      <c r="B543"/>
      <c r="C543"/>
      <c r="D543"/>
      <c r="E543"/>
      <c r="F543"/>
      <c r="G543"/>
      <c r="H543" s="94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</row>
    <row r="544" spans="2:39" s="144" customFormat="1" ht="15.75" customHeight="1" x14ac:dyDescent="0.25">
      <c r="B544"/>
      <c r="C544"/>
      <c r="D544"/>
      <c r="E544"/>
      <c r="F544"/>
      <c r="G544"/>
      <c r="H544" s="9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</row>
    <row r="545" spans="2:39" s="144" customFormat="1" ht="15.75" customHeight="1" x14ac:dyDescent="0.25">
      <c r="B545"/>
      <c r="C545"/>
      <c r="D545"/>
      <c r="E545"/>
      <c r="F545"/>
      <c r="G545"/>
      <c r="H545" s="94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</row>
    <row r="546" spans="2:39" s="144" customFormat="1" ht="15.75" customHeight="1" x14ac:dyDescent="0.25">
      <c r="B546"/>
      <c r="C546"/>
      <c r="D546"/>
      <c r="E546"/>
      <c r="F546"/>
      <c r="G546"/>
      <c r="H546" s="94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</row>
    <row r="547" spans="2:39" s="144" customFormat="1" ht="15.75" customHeight="1" x14ac:dyDescent="0.25">
      <c r="B547"/>
      <c r="C547"/>
      <c r="D547"/>
      <c r="E547"/>
      <c r="F547"/>
      <c r="G547"/>
      <c r="H547" s="94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</row>
    <row r="548" spans="2:39" s="144" customFormat="1" ht="15.75" customHeight="1" x14ac:dyDescent="0.25">
      <c r="B548"/>
      <c r="C548"/>
      <c r="D548"/>
      <c r="E548"/>
      <c r="F548"/>
      <c r="G548"/>
      <c r="H548" s="94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</row>
    <row r="549" spans="2:39" s="144" customFormat="1" ht="15.75" customHeight="1" x14ac:dyDescent="0.25">
      <c r="B549"/>
      <c r="C549"/>
      <c r="D549"/>
      <c r="E549"/>
      <c r="F549"/>
      <c r="G549"/>
      <c r="H549" s="94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</row>
    <row r="550" spans="2:39" s="144" customFormat="1" ht="15.75" customHeight="1" x14ac:dyDescent="0.25">
      <c r="B550"/>
      <c r="C550"/>
      <c r="D550"/>
      <c r="E550"/>
      <c r="F550"/>
      <c r="G550"/>
      <c r="H550" s="94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</row>
    <row r="551" spans="2:39" s="144" customFormat="1" ht="15.75" customHeight="1" x14ac:dyDescent="0.25">
      <c r="B551"/>
      <c r="C551"/>
      <c r="D551"/>
      <c r="E551"/>
      <c r="F551"/>
      <c r="G551"/>
      <c r="H551" s="94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</row>
    <row r="552" spans="2:39" s="144" customFormat="1" ht="15.75" customHeight="1" x14ac:dyDescent="0.25">
      <c r="B552"/>
      <c r="C552"/>
      <c r="D552"/>
      <c r="E552"/>
      <c r="F552"/>
      <c r="G552"/>
      <c r="H552" s="94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</row>
    <row r="553" spans="2:39" s="144" customFormat="1" ht="15.75" customHeight="1" x14ac:dyDescent="0.25">
      <c r="B553"/>
      <c r="C553"/>
      <c r="D553"/>
      <c r="E553"/>
      <c r="F553"/>
      <c r="G553"/>
      <c r="H553" s="94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</row>
    <row r="554" spans="2:39" s="144" customFormat="1" ht="15.75" customHeight="1" x14ac:dyDescent="0.25">
      <c r="B554"/>
      <c r="C554"/>
      <c r="D554"/>
      <c r="E554"/>
      <c r="F554"/>
      <c r="G554"/>
      <c r="H554" s="9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</row>
    <row r="555" spans="2:39" s="144" customFormat="1" ht="15.75" customHeight="1" x14ac:dyDescent="0.25">
      <c r="B555"/>
      <c r="C555"/>
      <c r="D555"/>
      <c r="E555"/>
      <c r="F555"/>
      <c r="G555"/>
      <c r="H555" s="94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</row>
    <row r="556" spans="2:39" s="144" customFormat="1" ht="15.75" customHeight="1" x14ac:dyDescent="0.25">
      <c r="B556"/>
      <c r="C556"/>
      <c r="D556"/>
      <c r="E556"/>
      <c r="F556"/>
      <c r="G556"/>
      <c r="H556" s="94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</row>
    <row r="557" spans="2:39" s="144" customFormat="1" ht="15.75" customHeight="1" x14ac:dyDescent="0.25">
      <c r="B557"/>
      <c r="C557"/>
      <c r="D557"/>
      <c r="E557"/>
      <c r="F557"/>
      <c r="G557"/>
      <c r="H557" s="94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</row>
    <row r="558" spans="2:39" s="144" customFormat="1" ht="15.75" customHeight="1" x14ac:dyDescent="0.25">
      <c r="B558"/>
      <c r="C558"/>
      <c r="D558"/>
      <c r="E558"/>
      <c r="F558"/>
      <c r="G558"/>
      <c r="H558" s="94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</row>
    <row r="559" spans="2:39" s="144" customFormat="1" ht="15.75" customHeight="1" x14ac:dyDescent="0.25">
      <c r="B559"/>
      <c r="C559"/>
      <c r="D559"/>
      <c r="E559"/>
      <c r="F559"/>
      <c r="G559"/>
      <c r="H559" s="94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</row>
    <row r="560" spans="2:39" s="144" customFormat="1" ht="15.75" customHeight="1" x14ac:dyDescent="0.25">
      <c r="B560"/>
      <c r="C560"/>
      <c r="D560"/>
      <c r="E560"/>
      <c r="F560"/>
      <c r="G560"/>
      <c r="H560" s="94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</row>
    <row r="561" spans="2:39" s="144" customFormat="1" ht="15.75" customHeight="1" x14ac:dyDescent="0.25">
      <c r="B561"/>
      <c r="C561"/>
      <c r="D561"/>
      <c r="E561"/>
      <c r="F561"/>
      <c r="G561"/>
      <c r="H561" s="94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</row>
    <row r="562" spans="2:39" s="144" customFormat="1" ht="15.75" customHeight="1" x14ac:dyDescent="0.25">
      <c r="B562"/>
      <c r="C562"/>
      <c r="D562"/>
      <c r="E562"/>
      <c r="F562"/>
      <c r="G562"/>
      <c r="H562" s="94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</row>
    <row r="563" spans="2:39" s="144" customFormat="1" ht="15.75" customHeight="1" x14ac:dyDescent="0.25">
      <c r="B563"/>
      <c r="C563"/>
      <c r="D563"/>
      <c r="E563"/>
      <c r="F563"/>
      <c r="G563"/>
      <c r="H563" s="94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</row>
    <row r="564" spans="2:39" s="144" customFormat="1" ht="15.75" customHeight="1" x14ac:dyDescent="0.25">
      <c r="B564"/>
      <c r="C564"/>
      <c r="D564"/>
      <c r="E564"/>
      <c r="F564"/>
      <c r="G564"/>
      <c r="H564" s="9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</row>
    <row r="565" spans="2:39" s="144" customFormat="1" ht="15.75" customHeight="1" x14ac:dyDescent="0.25">
      <c r="B565"/>
      <c r="C565"/>
      <c r="D565"/>
      <c r="E565"/>
      <c r="F565"/>
      <c r="G565"/>
      <c r="H565" s="94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</row>
    <row r="566" spans="2:39" s="144" customFormat="1" ht="15.75" customHeight="1" x14ac:dyDescent="0.25">
      <c r="B566"/>
      <c r="C566"/>
      <c r="D566"/>
      <c r="E566"/>
      <c r="F566"/>
      <c r="G566"/>
      <c r="H566" s="94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</row>
    <row r="567" spans="2:39" s="144" customFormat="1" ht="15.75" customHeight="1" x14ac:dyDescent="0.25">
      <c r="B567"/>
      <c r="C567"/>
      <c r="D567"/>
      <c r="E567"/>
      <c r="F567"/>
      <c r="G567"/>
      <c r="H567" s="94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</row>
    <row r="568" spans="2:39" s="144" customFormat="1" ht="15.75" customHeight="1" x14ac:dyDescent="0.25">
      <c r="B568"/>
      <c r="C568"/>
      <c r="D568"/>
      <c r="E568"/>
      <c r="F568"/>
      <c r="G568"/>
      <c r="H568" s="94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</row>
    <row r="569" spans="2:39" s="144" customFormat="1" ht="15.75" customHeight="1" x14ac:dyDescent="0.25">
      <c r="B569"/>
      <c r="C569"/>
      <c r="D569"/>
      <c r="E569"/>
      <c r="F569"/>
      <c r="G569"/>
      <c r="H569" s="94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</row>
    <row r="570" spans="2:39" s="144" customFormat="1" ht="15.75" customHeight="1" x14ac:dyDescent="0.25">
      <c r="B570"/>
      <c r="C570"/>
      <c r="D570"/>
      <c r="E570"/>
      <c r="F570"/>
      <c r="G570"/>
      <c r="H570" s="94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</row>
    <row r="571" spans="2:39" s="144" customFormat="1" ht="15.75" customHeight="1" x14ac:dyDescent="0.25">
      <c r="B571"/>
      <c r="C571"/>
      <c r="D571"/>
      <c r="E571"/>
      <c r="F571"/>
      <c r="G571"/>
      <c r="H571" s="94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</row>
    <row r="572" spans="2:39" s="144" customFormat="1" ht="15.75" customHeight="1" x14ac:dyDescent="0.25">
      <c r="B572"/>
      <c r="C572"/>
      <c r="D572"/>
      <c r="E572"/>
      <c r="F572"/>
      <c r="G572"/>
      <c r="H572" s="94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</row>
    <row r="573" spans="2:39" s="144" customFormat="1" ht="15.75" customHeight="1" x14ac:dyDescent="0.25">
      <c r="B573"/>
      <c r="C573"/>
      <c r="D573"/>
      <c r="E573"/>
      <c r="F573"/>
      <c r="G573"/>
      <c r="H573" s="94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</row>
    <row r="574" spans="2:39" s="144" customFormat="1" ht="15.75" customHeight="1" x14ac:dyDescent="0.25">
      <c r="B574"/>
      <c r="C574"/>
      <c r="D574"/>
      <c r="E574"/>
      <c r="F574"/>
      <c r="G574"/>
      <c r="H574" s="9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</row>
    <row r="575" spans="2:39" s="144" customFormat="1" ht="15.75" customHeight="1" x14ac:dyDescent="0.25">
      <c r="B575"/>
      <c r="C575"/>
      <c r="D575"/>
      <c r="E575"/>
      <c r="F575"/>
      <c r="G575"/>
      <c r="H575" s="94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</row>
    <row r="576" spans="2:39" s="144" customFormat="1" ht="15.75" customHeight="1" x14ac:dyDescent="0.25">
      <c r="B576"/>
      <c r="C576"/>
      <c r="D576"/>
      <c r="E576"/>
      <c r="F576"/>
      <c r="G576"/>
      <c r="H576" s="94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</row>
    <row r="577" spans="2:39" s="144" customFormat="1" ht="15.75" customHeight="1" x14ac:dyDescent="0.25">
      <c r="B577"/>
      <c r="C577"/>
      <c r="D577"/>
      <c r="E577"/>
      <c r="F577"/>
      <c r="G577"/>
      <c r="H577" s="94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</row>
    <row r="578" spans="2:39" s="144" customFormat="1" ht="15.75" customHeight="1" x14ac:dyDescent="0.25">
      <c r="B578"/>
      <c r="C578"/>
      <c r="D578"/>
      <c r="E578"/>
      <c r="F578"/>
      <c r="G578"/>
      <c r="H578" s="94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</row>
    <row r="579" spans="2:39" s="144" customFormat="1" ht="15.75" customHeight="1" x14ac:dyDescent="0.25">
      <c r="B579"/>
      <c r="C579"/>
      <c r="D579"/>
      <c r="E579"/>
      <c r="F579"/>
      <c r="G579"/>
      <c r="H579" s="94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</row>
    <row r="580" spans="2:39" s="144" customFormat="1" ht="15.75" customHeight="1" x14ac:dyDescent="0.25">
      <c r="B580"/>
      <c r="C580"/>
      <c r="D580"/>
      <c r="E580"/>
      <c r="F580"/>
      <c r="G580"/>
      <c r="H580" s="94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</row>
    <row r="581" spans="2:39" s="144" customFormat="1" ht="15.75" customHeight="1" x14ac:dyDescent="0.25">
      <c r="B581"/>
      <c r="C581"/>
      <c r="D581"/>
      <c r="E581"/>
      <c r="F581"/>
      <c r="G581"/>
      <c r="H581" s="94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</row>
    <row r="582" spans="2:39" s="144" customFormat="1" ht="15.75" customHeight="1" x14ac:dyDescent="0.25">
      <c r="B582"/>
      <c r="C582"/>
      <c r="D582"/>
      <c r="E582"/>
      <c r="F582"/>
      <c r="G582"/>
      <c r="H582" s="94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</row>
    <row r="583" spans="2:39" s="144" customFormat="1" ht="15.75" customHeight="1" x14ac:dyDescent="0.25">
      <c r="B583"/>
      <c r="C583"/>
      <c r="D583"/>
      <c r="E583"/>
      <c r="F583"/>
      <c r="G583"/>
      <c r="H583" s="94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</row>
    <row r="584" spans="2:39" s="144" customFormat="1" ht="15.75" customHeight="1" x14ac:dyDescent="0.25">
      <c r="B584"/>
      <c r="C584"/>
      <c r="D584"/>
      <c r="E584"/>
      <c r="F584"/>
      <c r="G584"/>
      <c r="H584" s="9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</row>
    <row r="585" spans="2:39" s="144" customFormat="1" ht="15.75" customHeight="1" x14ac:dyDescent="0.25">
      <c r="B585"/>
      <c r="C585"/>
      <c r="D585"/>
      <c r="E585"/>
      <c r="F585"/>
      <c r="G585"/>
      <c r="H585" s="94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</row>
    <row r="586" spans="2:39" s="144" customFormat="1" ht="15.75" customHeight="1" x14ac:dyDescent="0.25">
      <c r="B586"/>
      <c r="C586"/>
      <c r="D586"/>
      <c r="E586"/>
      <c r="F586"/>
      <c r="G586"/>
      <c r="H586" s="94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</row>
    <row r="587" spans="2:39" s="144" customFormat="1" ht="15.75" customHeight="1" x14ac:dyDescent="0.25">
      <c r="B587"/>
      <c r="C587"/>
      <c r="D587"/>
      <c r="E587"/>
      <c r="F587"/>
      <c r="G587"/>
      <c r="H587" s="94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</row>
    <row r="588" spans="2:39" s="144" customFormat="1" ht="15.75" customHeight="1" x14ac:dyDescent="0.25">
      <c r="B588"/>
      <c r="C588"/>
      <c r="D588"/>
      <c r="E588"/>
      <c r="F588"/>
      <c r="G588"/>
      <c r="H588" s="94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</row>
    <row r="589" spans="2:39" s="144" customFormat="1" ht="15.75" customHeight="1" x14ac:dyDescent="0.25">
      <c r="B589"/>
      <c r="C589"/>
      <c r="D589"/>
      <c r="E589"/>
      <c r="F589"/>
      <c r="G589"/>
      <c r="H589" s="94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</row>
    <row r="590" spans="2:39" s="144" customFormat="1" ht="15.75" customHeight="1" x14ac:dyDescent="0.25">
      <c r="B590"/>
      <c r="C590"/>
      <c r="D590"/>
      <c r="E590"/>
      <c r="F590"/>
      <c r="G590"/>
      <c r="H590" s="94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</row>
    <row r="591" spans="2:39" s="144" customFormat="1" ht="15.75" customHeight="1" x14ac:dyDescent="0.25">
      <c r="B591"/>
      <c r="C591"/>
      <c r="D591"/>
      <c r="E591"/>
      <c r="F591"/>
      <c r="G591"/>
      <c r="H591" s="94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</row>
    <row r="592" spans="2:39" s="144" customFormat="1" ht="15.75" customHeight="1" x14ac:dyDescent="0.25">
      <c r="B592"/>
      <c r="C592"/>
      <c r="D592"/>
      <c r="E592"/>
      <c r="F592"/>
      <c r="G592"/>
      <c r="H592" s="94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</row>
    <row r="593" spans="2:39" s="144" customFormat="1" ht="15.75" customHeight="1" x14ac:dyDescent="0.25">
      <c r="B593"/>
      <c r="C593"/>
      <c r="D593"/>
      <c r="E593"/>
      <c r="F593"/>
      <c r="G593"/>
      <c r="H593" s="94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</row>
    <row r="594" spans="2:39" s="144" customFormat="1" ht="15.75" customHeight="1" x14ac:dyDescent="0.25">
      <c r="B594"/>
      <c r="C594"/>
      <c r="D594"/>
      <c r="E594"/>
      <c r="F594"/>
      <c r="G594"/>
      <c r="H594" s="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</row>
    <row r="595" spans="2:39" s="144" customFormat="1" ht="15.75" customHeight="1" x14ac:dyDescent="0.25">
      <c r="B595"/>
      <c r="C595"/>
      <c r="D595"/>
      <c r="E595"/>
      <c r="F595"/>
      <c r="G595"/>
      <c r="H595" s="94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</row>
    <row r="596" spans="2:39" s="144" customFormat="1" ht="15.75" customHeight="1" x14ac:dyDescent="0.25">
      <c r="B596"/>
      <c r="C596"/>
      <c r="D596"/>
      <c r="E596"/>
      <c r="F596"/>
      <c r="G596"/>
      <c r="H596" s="94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</row>
    <row r="597" spans="2:39" s="144" customFormat="1" ht="15.75" customHeight="1" x14ac:dyDescent="0.25">
      <c r="B597"/>
      <c r="C597"/>
      <c r="D597"/>
      <c r="E597"/>
      <c r="F597"/>
      <c r="G597"/>
      <c r="H597" s="94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</row>
    <row r="598" spans="2:39" s="144" customFormat="1" ht="15.75" customHeight="1" x14ac:dyDescent="0.25">
      <c r="B598"/>
      <c r="C598"/>
      <c r="D598"/>
      <c r="E598"/>
      <c r="F598"/>
      <c r="G598"/>
      <c r="H598" s="94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</row>
    <row r="599" spans="2:39" s="144" customFormat="1" ht="15.75" customHeight="1" x14ac:dyDescent="0.25">
      <c r="B599"/>
      <c r="C599"/>
      <c r="D599"/>
      <c r="E599"/>
      <c r="F599"/>
      <c r="G599"/>
      <c r="H599" s="94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</row>
    <row r="600" spans="2:39" s="144" customFormat="1" ht="15.75" customHeight="1" x14ac:dyDescent="0.25">
      <c r="B600"/>
      <c r="C600"/>
      <c r="D600"/>
      <c r="E600"/>
      <c r="F600"/>
      <c r="G600"/>
      <c r="H600" s="94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</row>
    <row r="601" spans="2:39" s="144" customFormat="1" ht="15.75" customHeight="1" x14ac:dyDescent="0.25">
      <c r="B601"/>
      <c r="C601"/>
      <c r="D601"/>
      <c r="E601"/>
      <c r="F601"/>
      <c r="G601"/>
      <c r="H601" s="94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</row>
    <row r="602" spans="2:39" s="144" customFormat="1" ht="15.75" customHeight="1" x14ac:dyDescent="0.25">
      <c r="B602"/>
      <c r="C602"/>
      <c r="D602"/>
      <c r="E602"/>
      <c r="F602"/>
      <c r="G602"/>
      <c r="H602" s="94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</row>
    <row r="603" spans="2:39" s="144" customFormat="1" ht="15.75" customHeight="1" x14ac:dyDescent="0.25">
      <c r="B603"/>
      <c r="C603"/>
      <c r="D603"/>
      <c r="E603"/>
      <c r="F603"/>
      <c r="G603"/>
      <c r="H603" s="94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</row>
    <row r="604" spans="2:39" s="144" customFormat="1" ht="15.75" customHeight="1" x14ac:dyDescent="0.25">
      <c r="B604"/>
      <c r="C604"/>
      <c r="D604"/>
      <c r="E604"/>
      <c r="F604"/>
      <c r="G604"/>
      <c r="H604" s="9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</row>
    <row r="605" spans="2:39" s="144" customFormat="1" ht="15.75" customHeight="1" x14ac:dyDescent="0.25">
      <c r="B605"/>
      <c r="C605"/>
      <c r="D605"/>
      <c r="E605"/>
      <c r="F605"/>
      <c r="G605"/>
      <c r="H605" s="94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</row>
    <row r="606" spans="2:39" s="144" customFormat="1" ht="15.75" customHeight="1" x14ac:dyDescent="0.25">
      <c r="B606"/>
      <c r="C606"/>
      <c r="D606"/>
      <c r="E606"/>
      <c r="F606"/>
      <c r="G606"/>
      <c r="H606" s="94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</row>
    <row r="607" spans="2:39" s="144" customFormat="1" ht="15.75" customHeight="1" x14ac:dyDescent="0.25">
      <c r="B607"/>
      <c r="C607"/>
      <c r="D607"/>
      <c r="E607"/>
      <c r="F607"/>
      <c r="G607"/>
      <c r="H607" s="94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</row>
    <row r="608" spans="2:39" s="144" customFormat="1" ht="15.75" customHeight="1" x14ac:dyDescent="0.25">
      <c r="B608"/>
      <c r="C608"/>
      <c r="D608"/>
      <c r="E608"/>
      <c r="F608"/>
      <c r="G608"/>
      <c r="H608" s="94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</row>
    <row r="609" spans="2:39" s="144" customFormat="1" ht="15.75" customHeight="1" x14ac:dyDescent="0.25">
      <c r="B609"/>
      <c r="C609"/>
      <c r="D609"/>
      <c r="E609"/>
      <c r="F609"/>
      <c r="G609"/>
      <c r="H609" s="94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</row>
    <row r="610" spans="2:39" s="144" customFormat="1" ht="15.75" customHeight="1" x14ac:dyDescent="0.25">
      <c r="B610"/>
      <c r="C610"/>
      <c r="D610"/>
      <c r="E610"/>
      <c r="F610"/>
      <c r="G610"/>
      <c r="H610" s="94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</row>
    <row r="611" spans="2:39" s="144" customFormat="1" ht="15.75" customHeight="1" x14ac:dyDescent="0.25">
      <c r="B611"/>
      <c r="C611"/>
      <c r="D611"/>
      <c r="E611"/>
      <c r="F611"/>
      <c r="G611"/>
      <c r="H611" s="94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</row>
    <row r="612" spans="2:39" s="144" customFormat="1" ht="15.75" customHeight="1" x14ac:dyDescent="0.25">
      <c r="B612"/>
      <c r="C612"/>
      <c r="D612"/>
      <c r="E612"/>
      <c r="F612"/>
      <c r="G612"/>
      <c r="H612" s="94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</row>
    <row r="613" spans="2:39" s="144" customFormat="1" ht="15.75" customHeight="1" x14ac:dyDescent="0.25">
      <c r="B613"/>
      <c r="C613"/>
      <c r="D613"/>
      <c r="E613"/>
      <c r="F613"/>
      <c r="G613"/>
      <c r="H613" s="94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</row>
    <row r="614" spans="2:39" s="144" customFormat="1" ht="15.75" customHeight="1" x14ac:dyDescent="0.25">
      <c r="B614"/>
      <c r="C614"/>
      <c r="D614"/>
      <c r="E614"/>
      <c r="F614"/>
      <c r="G614"/>
      <c r="H614" s="9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</row>
    <row r="615" spans="2:39" s="144" customFormat="1" ht="15.75" customHeight="1" x14ac:dyDescent="0.25">
      <c r="B615"/>
      <c r="C615"/>
      <c r="D615"/>
      <c r="E615"/>
      <c r="F615"/>
      <c r="G615"/>
      <c r="H615" s="94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</row>
    <row r="616" spans="2:39" s="144" customFormat="1" ht="15.75" customHeight="1" x14ac:dyDescent="0.25">
      <c r="B616"/>
      <c r="C616"/>
      <c r="D616"/>
      <c r="E616"/>
      <c r="F616"/>
      <c r="G616"/>
      <c r="H616" s="94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</row>
    <row r="617" spans="2:39" s="144" customFormat="1" ht="15.75" customHeight="1" x14ac:dyDescent="0.25">
      <c r="B617"/>
      <c r="C617"/>
      <c r="D617"/>
      <c r="E617"/>
      <c r="F617"/>
      <c r="G617"/>
      <c r="H617" s="94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</row>
    <row r="618" spans="2:39" s="144" customFormat="1" ht="15.75" customHeight="1" x14ac:dyDescent="0.25">
      <c r="B618"/>
      <c r="C618"/>
      <c r="D618"/>
      <c r="E618"/>
      <c r="F618"/>
      <c r="G618"/>
      <c r="H618" s="94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</row>
    <row r="619" spans="2:39" s="144" customFormat="1" ht="15.75" customHeight="1" x14ac:dyDescent="0.25">
      <c r="B619"/>
      <c r="C619"/>
      <c r="D619"/>
      <c r="E619"/>
      <c r="F619"/>
      <c r="G619"/>
      <c r="H619" s="94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</row>
    <row r="620" spans="2:39" s="144" customFormat="1" ht="15.75" customHeight="1" x14ac:dyDescent="0.25">
      <c r="B620"/>
      <c r="C620"/>
      <c r="D620"/>
      <c r="E620"/>
      <c r="F620"/>
      <c r="G620"/>
      <c r="H620" s="94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</row>
    <row r="621" spans="2:39" s="144" customFormat="1" ht="15.75" customHeight="1" x14ac:dyDescent="0.25">
      <c r="B621"/>
      <c r="C621"/>
      <c r="D621"/>
      <c r="E621"/>
      <c r="F621"/>
      <c r="G621"/>
      <c r="H621" s="94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</row>
    <row r="622" spans="2:39" s="144" customFormat="1" ht="15.75" customHeight="1" x14ac:dyDescent="0.25">
      <c r="B622"/>
      <c r="C622"/>
      <c r="D622"/>
      <c r="E622"/>
      <c r="F622"/>
      <c r="G622"/>
      <c r="H622" s="94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</row>
    <row r="623" spans="2:39" s="144" customFormat="1" ht="15.75" customHeight="1" x14ac:dyDescent="0.25">
      <c r="B623"/>
      <c r="C623"/>
      <c r="D623"/>
      <c r="E623"/>
      <c r="F623"/>
      <c r="G623"/>
      <c r="H623" s="94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</row>
    <row r="624" spans="2:39" s="144" customFormat="1" ht="15.75" customHeight="1" x14ac:dyDescent="0.25">
      <c r="B624"/>
      <c r="C624"/>
      <c r="D624"/>
      <c r="E624"/>
      <c r="F624"/>
      <c r="G624"/>
      <c r="H624" s="9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</row>
    <row r="625" spans="2:39" s="144" customFormat="1" ht="15.75" customHeight="1" x14ac:dyDescent="0.25">
      <c r="B625"/>
      <c r="C625"/>
      <c r="D625"/>
      <c r="E625"/>
      <c r="F625"/>
      <c r="G625"/>
      <c r="H625" s="94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</row>
    <row r="626" spans="2:39" s="144" customFormat="1" ht="15.75" customHeight="1" x14ac:dyDescent="0.25">
      <c r="B626"/>
      <c r="C626"/>
      <c r="D626"/>
      <c r="E626"/>
      <c r="F626"/>
      <c r="G626"/>
      <c r="H626" s="94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</row>
    <row r="627" spans="2:39" s="144" customFormat="1" ht="15.75" customHeight="1" x14ac:dyDescent="0.25">
      <c r="B627"/>
      <c r="C627"/>
      <c r="D627"/>
      <c r="E627"/>
      <c r="F627"/>
      <c r="G627"/>
      <c r="H627" s="94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</row>
    <row r="628" spans="2:39" s="144" customFormat="1" ht="15.75" customHeight="1" x14ac:dyDescent="0.25">
      <c r="B628"/>
      <c r="C628"/>
      <c r="D628"/>
      <c r="E628"/>
      <c r="F628"/>
      <c r="G628"/>
      <c r="H628" s="94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</row>
    <row r="629" spans="2:39" s="144" customFormat="1" ht="15.75" customHeight="1" x14ac:dyDescent="0.25">
      <c r="B629"/>
      <c r="C629"/>
      <c r="D629"/>
      <c r="E629"/>
      <c r="F629"/>
      <c r="G629"/>
      <c r="H629" s="94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</row>
    <row r="630" spans="2:39" s="144" customFormat="1" ht="15.75" customHeight="1" x14ac:dyDescent="0.25">
      <c r="B630"/>
      <c r="C630"/>
      <c r="D630"/>
      <c r="E630"/>
      <c r="F630"/>
      <c r="G630"/>
      <c r="H630" s="94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</row>
    <row r="631" spans="2:39" s="144" customFormat="1" ht="15.75" customHeight="1" x14ac:dyDescent="0.25">
      <c r="B631"/>
      <c r="C631"/>
      <c r="D631"/>
      <c r="E631"/>
      <c r="F631"/>
      <c r="G631"/>
      <c r="H631" s="94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</row>
    <row r="632" spans="2:39" s="144" customFormat="1" ht="15.75" customHeight="1" x14ac:dyDescent="0.25">
      <c r="B632"/>
      <c r="C632"/>
      <c r="D632"/>
      <c r="E632"/>
      <c r="F632"/>
      <c r="G632"/>
      <c r="H632" s="94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</row>
    <row r="633" spans="2:39" s="144" customFormat="1" ht="15.75" customHeight="1" x14ac:dyDescent="0.25">
      <c r="B633"/>
      <c r="C633"/>
      <c r="D633"/>
      <c r="E633"/>
      <c r="F633"/>
      <c r="G633"/>
      <c r="H633" s="94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</row>
    <row r="634" spans="2:39" s="144" customFormat="1" ht="15.75" customHeight="1" x14ac:dyDescent="0.25">
      <c r="B634"/>
      <c r="C634"/>
      <c r="D634"/>
      <c r="E634"/>
      <c r="F634"/>
      <c r="G634"/>
      <c r="H634" s="9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</row>
    <row r="635" spans="2:39" s="144" customFormat="1" ht="15.75" customHeight="1" x14ac:dyDescent="0.25">
      <c r="B635"/>
      <c r="C635"/>
      <c r="D635"/>
      <c r="E635"/>
      <c r="F635"/>
      <c r="G635"/>
      <c r="H635" s="94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</row>
    <row r="636" spans="2:39" s="144" customFormat="1" ht="15.75" customHeight="1" x14ac:dyDescent="0.25">
      <c r="B636"/>
      <c r="C636"/>
      <c r="D636"/>
      <c r="E636"/>
      <c r="F636"/>
      <c r="G636"/>
      <c r="H636" s="94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</row>
    <row r="637" spans="2:39" s="144" customFormat="1" ht="15.75" customHeight="1" x14ac:dyDescent="0.25">
      <c r="B637"/>
      <c r="C637"/>
      <c r="D637"/>
      <c r="E637"/>
      <c r="F637"/>
      <c r="G637"/>
      <c r="H637" s="94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</row>
    <row r="638" spans="2:39" s="144" customFormat="1" ht="15.75" customHeight="1" x14ac:dyDescent="0.25">
      <c r="B638"/>
      <c r="C638"/>
      <c r="D638"/>
      <c r="E638"/>
      <c r="F638"/>
      <c r="G638"/>
      <c r="H638" s="94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</row>
    <row r="639" spans="2:39" s="144" customFormat="1" ht="15.75" customHeight="1" x14ac:dyDescent="0.25">
      <c r="B639"/>
      <c r="C639"/>
      <c r="D639"/>
      <c r="E639"/>
      <c r="F639"/>
      <c r="G639"/>
      <c r="H639" s="94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</row>
    <row r="640" spans="2:39" s="144" customFormat="1" ht="15.75" customHeight="1" x14ac:dyDescent="0.25">
      <c r="B640"/>
      <c r="C640"/>
      <c r="D640"/>
      <c r="E640"/>
      <c r="F640"/>
      <c r="G640"/>
      <c r="H640" s="94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</row>
    <row r="641" spans="2:39" s="144" customFormat="1" ht="15.75" customHeight="1" x14ac:dyDescent="0.25">
      <c r="B641"/>
      <c r="C641"/>
      <c r="D641"/>
      <c r="E641"/>
      <c r="F641"/>
      <c r="G641"/>
      <c r="H641" s="94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</row>
    <row r="642" spans="2:39" s="144" customFormat="1" ht="15.75" customHeight="1" x14ac:dyDescent="0.25">
      <c r="B642"/>
      <c r="C642"/>
      <c r="D642"/>
      <c r="E642"/>
      <c r="F642"/>
      <c r="G642"/>
      <c r="H642" s="94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</row>
    <row r="643" spans="2:39" s="144" customFormat="1" ht="15.75" customHeight="1" x14ac:dyDescent="0.25">
      <c r="B643"/>
      <c r="C643"/>
      <c r="D643"/>
      <c r="E643"/>
      <c r="F643"/>
      <c r="G643"/>
      <c r="H643" s="94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</row>
    <row r="644" spans="2:39" s="144" customFormat="1" ht="15.75" customHeight="1" x14ac:dyDescent="0.25">
      <c r="B644"/>
      <c r="C644"/>
      <c r="D644"/>
      <c r="E644"/>
      <c r="F644"/>
      <c r="G644"/>
      <c r="H644" s="9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</row>
    <row r="645" spans="2:39" s="144" customFormat="1" ht="15.75" customHeight="1" x14ac:dyDescent="0.25">
      <c r="B645"/>
      <c r="C645"/>
      <c r="D645"/>
      <c r="E645"/>
      <c r="F645"/>
      <c r="G645"/>
      <c r="H645" s="94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</row>
    <row r="646" spans="2:39" s="144" customFormat="1" ht="15.75" customHeight="1" x14ac:dyDescent="0.25">
      <c r="B646"/>
      <c r="C646"/>
      <c r="D646"/>
      <c r="E646"/>
      <c r="F646"/>
      <c r="G646"/>
      <c r="H646" s="94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</row>
    <row r="647" spans="2:39" s="144" customFormat="1" ht="15.75" customHeight="1" x14ac:dyDescent="0.25">
      <c r="B647"/>
      <c r="C647"/>
      <c r="D647"/>
      <c r="E647"/>
      <c r="F647"/>
      <c r="G647"/>
      <c r="H647" s="94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</row>
    <row r="648" spans="2:39" s="144" customFormat="1" ht="15.75" customHeight="1" x14ac:dyDescent="0.25">
      <c r="B648"/>
      <c r="C648"/>
      <c r="D648"/>
      <c r="E648"/>
      <c r="F648"/>
      <c r="G648"/>
      <c r="H648" s="94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</row>
    <row r="649" spans="2:39" s="144" customFormat="1" ht="15.75" customHeight="1" x14ac:dyDescent="0.25">
      <c r="B649"/>
      <c r="C649"/>
      <c r="D649"/>
      <c r="E649"/>
      <c r="F649"/>
      <c r="G649"/>
      <c r="H649" s="94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</row>
    <row r="650" spans="2:39" s="144" customFormat="1" ht="15.75" customHeight="1" x14ac:dyDescent="0.25">
      <c r="B650"/>
      <c r="C650"/>
      <c r="D650"/>
      <c r="E650"/>
      <c r="F650"/>
      <c r="G650"/>
      <c r="H650" s="94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</row>
    <row r="651" spans="2:39" s="144" customFormat="1" ht="15.75" customHeight="1" x14ac:dyDescent="0.25">
      <c r="B651"/>
      <c r="C651"/>
      <c r="D651"/>
      <c r="E651"/>
      <c r="F651"/>
      <c r="G651"/>
      <c r="H651" s="94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</row>
    <row r="652" spans="2:39" s="144" customFormat="1" ht="15.75" customHeight="1" x14ac:dyDescent="0.25">
      <c r="B652"/>
      <c r="C652"/>
      <c r="D652"/>
      <c r="E652"/>
      <c r="F652"/>
      <c r="G652"/>
      <c r="H652" s="94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</row>
    <row r="653" spans="2:39" s="144" customFormat="1" ht="15.75" customHeight="1" x14ac:dyDescent="0.25">
      <c r="B653"/>
      <c r="C653"/>
      <c r="D653"/>
      <c r="E653"/>
      <c r="F653"/>
      <c r="G653"/>
      <c r="H653" s="94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</row>
    <row r="654" spans="2:39" s="144" customFormat="1" ht="15.75" customHeight="1" x14ac:dyDescent="0.25">
      <c r="B654"/>
      <c r="C654"/>
      <c r="D654"/>
      <c r="E654"/>
      <c r="F654"/>
      <c r="G654"/>
      <c r="H654" s="9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</row>
    <row r="655" spans="2:39" s="144" customFormat="1" ht="15.75" customHeight="1" x14ac:dyDescent="0.25">
      <c r="B655"/>
      <c r="C655"/>
      <c r="D655"/>
      <c r="E655"/>
      <c r="F655"/>
      <c r="G655"/>
      <c r="H655" s="94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</row>
    <row r="656" spans="2:39" s="144" customFormat="1" ht="15.75" customHeight="1" x14ac:dyDescent="0.25">
      <c r="B656"/>
      <c r="C656"/>
      <c r="D656"/>
      <c r="E656"/>
      <c r="F656"/>
      <c r="G656"/>
      <c r="H656" s="94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</row>
    <row r="657" spans="2:39" s="144" customFormat="1" ht="15.75" customHeight="1" x14ac:dyDescent="0.25">
      <c r="B657"/>
      <c r="C657"/>
      <c r="D657"/>
      <c r="E657"/>
      <c r="F657"/>
      <c r="G657"/>
      <c r="H657" s="94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</row>
    <row r="658" spans="2:39" s="144" customFormat="1" ht="15.75" customHeight="1" x14ac:dyDescent="0.25">
      <c r="B658"/>
      <c r="C658"/>
      <c r="D658"/>
      <c r="E658"/>
      <c r="F658"/>
      <c r="G658"/>
      <c r="H658" s="94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</row>
    <row r="659" spans="2:39" s="144" customFormat="1" ht="15.75" customHeight="1" x14ac:dyDescent="0.25">
      <c r="B659"/>
      <c r="C659"/>
      <c r="D659"/>
      <c r="E659"/>
      <c r="F659"/>
      <c r="G659"/>
      <c r="H659" s="94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</row>
    <row r="660" spans="2:39" s="144" customFormat="1" ht="15.75" customHeight="1" x14ac:dyDescent="0.25">
      <c r="B660"/>
      <c r="C660"/>
      <c r="D660"/>
      <c r="E660"/>
      <c r="F660"/>
      <c r="G660"/>
      <c r="H660" s="94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</row>
    <row r="661" spans="2:39" s="144" customFormat="1" ht="15.75" customHeight="1" x14ac:dyDescent="0.25">
      <c r="B661"/>
      <c r="C661"/>
      <c r="D661"/>
      <c r="E661"/>
      <c r="F661"/>
      <c r="G661"/>
      <c r="H661" s="94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</row>
    <row r="662" spans="2:39" s="144" customFormat="1" ht="15.75" customHeight="1" x14ac:dyDescent="0.25">
      <c r="B662"/>
      <c r="C662"/>
      <c r="D662"/>
      <c r="E662"/>
      <c r="F662"/>
      <c r="G662"/>
      <c r="H662" s="94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</row>
    <row r="663" spans="2:39" s="144" customFormat="1" ht="15.75" customHeight="1" x14ac:dyDescent="0.25">
      <c r="B663"/>
      <c r="C663"/>
      <c r="D663"/>
      <c r="E663"/>
      <c r="F663"/>
      <c r="G663"/>
      <c r="H663" s="94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</row>
    <row r="664" spans="2:39" s="144" customFormat="1" ht="15.75" customHeight="1" x14ac:dyDescent="0.25">
      <c r="B664"/>
      <c r="C664"/>
      <c r="D664"/>
      <c r="E664"/>
      <c r="F664"/>
      <c r="G664"/>
      <c r="H664" s="9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</row>
    <row r="665" spans="2:39" s="144" customFormat="1" ht="15.75" customHeight="1" x14ac:dyDescent="0.25">
      <c r="B665"/>
      <c r="C665"/>
      <c r="D665"/>
      <c r="E665"/>
      <c r="F665"/>
      <c r="G665"/>
      <c r="H665" s="94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</row>
    <row r="666" spans="2:39" s="144" customFormat="1" ht="15.75" customHeight="1" x14ac:dyDescent="0.25">
      <c r="B666"/>
      <c r="C666"/>
      <c r="D666"/>
      <c r="E666"/>
      <c r="F666"/>
      <c r="G666"/>
      <c r="H666" s="94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</row>
    <row r="667" spans="2:39" s="144" customFormat="1" ht="15.75" customHeight="1" x14ac:dyDescent="0.25">
      <c r="B667"/>
      <c r="C667"/>
      <c r="D667"/>
      <c r="E667"/>
      <c r="F667"/>
      <c r="G667"/>
      <c r="H667" s="94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</row>
    <row r="668" spans="2:39" s="144" customFormat="1" ht="15.75" customHeight="1" x14ac:dyDescent="0.25">
      <c r="B668"/>
      <c r="C668"/>
      <c r="D668"/>
      <c r="E668"/>
      <c r="F668"/>
      <c r="G668"/>
      <c r="H668" s="94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</row>
    <row r="669" spans="2:39" s="144" customFormat="1" ht="15.75" customHeight="1" x14ac:dyDescent="0.25">
      <c r="B669"/>
      <c r="C669"/>
      <c r="D669"/>
      <c r="E669"/>
      <c r="F669"/>
      <c r="G669"/>
      <c r="H669" s="94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</row>
    <row r="670" spans="2:39" s="144" customFormat="1" ht="15.75" customHeight="1" x14ac:dyDescent="0.25">
      <c r="B670"/>
      <c r="C670"/>
      <c r="D670"/>
      <c r="E670"/>
      <c r="F670"/>
      <c r="G670"/>
      <c r="H670" s="94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</row>
    <row r="671" spans="2:39" s="144" customFormat="1" ht="15.75" customHeight="1" x14ac:dyDescent="0.25">
      <c r="B671"/>
      <c r="C671"/>
      <c r="D671"/>
      <c r="E671"/>
      <c r="F671"/>
      <c r="G671"/>
      <c r="H671" s="94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</row>
    <row r="672" spans="2:39" s="144" customFormat="1" ht="15.75" customHeight="1" x14ac:dyDescent="0.25">
      <c r="B672"/>
      <c r="C672"/>
      <c r="D672"/>
      <c r="E672"/>
      <c r="F672"/>
      <c r="G672"/>
      <c r="H672" s="94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</row>
    <row r="673" spans="2:39" s="144" customFormat="1" ht="15.75" customHeight="1" x14ac:dyDescent="0.25">
      <c r="B673"/>
      <c r="C673"/>
      <c r="D673"/>
      <c r="E673"/>
      <c r="F673"/>
      <c r="G673"/>
      <c r="H673" s="94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</row>
    <row r="674" spans="2:39" s="144" customFormat="1" ht="15.75" customHeight="1" x14ac:dyDescent="0.25">
      <c r="B674"/>
      <c r="C674"/>
      <c r="D674"/>
      <c r="E674"/>
      <c r="F674"/>
      <c r="G674"/>
      <c r="H674" s="9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</row>
    <row r="675" spans="2:39" s="144" customFormat="1" ht="15.75" customHeight="1" x14ac:dyDescent="0.25">
      <c r="B675"/>
      <c r="C675"/>
      <c r="D675"/>
      <c r="E675"/>
      <c r="F675"/>
      <c r="G675"/>
      <c r="H675" s="94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</row>
    <row r="676" spans="2:39" s="144" customFormat="1" ht="15.75" customHeight="1" x14ac:dyDescent="0.25">
      <c r="B676"/>
      <c r="C676"/>
      <c r="D676"/>
      <c r="E676"/>
      <c r="F676"/>
      <c r="G676"/>
      <c r="H676" s="94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</row>
    <row r="677" spans="2:39" s="144" customFormat="1" ht="15.75" customHeight="1" x14ac:dyDescent="0.25">
      <c r="B677"/>
      <c r="C677"/>
      <c r="D677"/>
      <c r="E677"/>
      <c r="F677"/>
      <c r="G677"/>
      <c r="H677" s="94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</row>
    <row r="678" spans="2:39" s="144" customFormat="1" ht="15.75" customHeight="1" x14ac:dyDescent="0.25">
      <c r="B678"/>
      <c r="C678"/>
      <c r="D678"/>
      <c r="E678"/>
      <c r="F678"/>
      <c r="G678"/>
      <c r="H678" s="94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</row>
    <row r="679" spans="2:39" s="144" customFormat="1" ht="15.75" customHeight="1" x14ac:dyDescent="0.25">
      <c r="B679"/>
      <c r="C679"/>
      <c r="D679"/>
      <c r="E679"/>
      <c r="F679"/>
      <c r="G679"/>
      <c r="H679" s="94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</row>
    <row r="680" spans="2:39" s="144" customFormat="1" ht="15.75" customHeight="1" x14ac:dyDescent="0.25">
      <c r="B680"/>
      <c r="C680"/>
      <c r="D680"/>
      <c r="E680"/>
      <c r="F680"/>
      <c r="G680"/>
      <c r="H680" s="94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</row>
    <row r="681" spans="2:39" s="144" customFormat="1" ht="15.75" customHeight="1" x14ac:dyDescent="0.25">
      <c r="B681"/>
      <c r="C681"/>
      <c r="D681"/>
      <c r="E681"/>
      <c r="F681"/>
      <c r="G681"/>
      <c r="H681" s="94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</row>
    <row r="682" spans="2:39" s="144" customFormat="1" ht="15.75" customHeight="1" x14ac:dyDescent="0.25">
      <c r="B682"/>
      <c r="C682"/>
      <c r="D682"/>
      <c r="E682"/>
      <c r="F682"/>
      <c r="G682"/>
      <c r="H682" s="94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</row>
    <row r="683" spans="2:39" s="144" customFormat="1" ht="15.75" customHeight="1" x14ac:dyDescent="0.25">
      <c r="B683"/>
      <c r="C683"/>
      <c r="D683"/>
      <c r="E683"/>
      <c r="F683"/>
      <c r="G683"/>
      <c r="H683" s="94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</row>
    <row r="684" spans="2:39" s="144" customFormat="1" ht="15.75" customHeight="1" x14ac:dyDescent="0.25">
      <c r="B684"/>
      <c r="C684"/>
      <c r="D684"/>
      <c r="E684"/>
      <c r="F684"/>
      <c r="G684"/>
      <c r="H684" s="9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</row>
    <row r="685" spans="2:39" s="144" customFormat="1" ht="15.75" customHeight="1" x14ac:dyDescent="0.25">
      <c r="B685"/>
      <c r="C685"/>
      <c r="D685"/>
      <c r="E685"/>
      <c r="F685"/>
      <c r="G685"/>
      <c r="H685" s="94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</row>
    <row r="686" spans="2:39" s="144" customFormat="1" ht="15.75" customHeight="1" x14ac:dyDescent="0.25">
      <c r="B686"/>
      <c r="C686"/>
      <c r="D686"/>
      <c r="E686"/>
      <c r="F686"/>
      <c r="G686"/>
      <c r="H686" s="94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</row>
    <row r="687" spans="2:39" s="144" customFormat="1" ht="15.75" customHeight="1" x14ac:dyDescent="0.25">
      <c r="B687"/>
      <c r="C687"/>
      <c r="D687"/>
      <c r="E687"/>
      <c r="F687"/>
      <c r="G687"/>
      <c r="H687" s="94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</row>
    <row r="688" spans="2:39" s="144" customFormat="1" ht="15.75" customHeight="1" x14ac:dyDescent="0.25">
      <c r="B688"/>
      <c r="C688"/>
      <c r="D688"/>
      <c r="E688"/>
      <c r="F688"/>
      <c r="G688"/>
      <c r="H688" s="94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</row>
    <row r="689" spans="2:39" s="144" customFormat="1" ht="15.75" customHeight="1" x14ac:dyDescent="0.25">
      <c r="B689"/>
      <c r="C689"/>
      <c r="D689"/>
      <c r="E689"/>
      <c r="F689"/>
      <c r="G689"/>
      <c r="H689" s="94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</row>
    <row r="690" spans="2:39" s="144" customFormat="1" ht="15.75" customHeight="1" x14ac:dyDescent="0.25">
      <c r="B690"/>
      <c r="C690"/>
      <c r="D690"/>
      <c r="E690"/>
      <c r="F690"/>
      <c r="G690"/>
      <c r="H690" s="94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</row>
    <row r="691" spans="2:39" s="144" customFormat="1" ht="15.75" customHeight="1" x14ac:dyDescent="0.25">
      <c r="B691"/>
      <c r="C691"/>
      <c r="D691"/>
      <c r="E691"/>
      <c r="F691"/>
      <c r="G691"/>
      <c r="H691" s="94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</row>
    <row r="692" spans="2:39" s="144" customFormat="1" ht="15.75" customHeight="1" x14ac:dyDescent="0.25">
      <c r="B692"/>
      <c r="C692"/>
      <c r="D692"/>
      <c r="E692"/>
      <c r="F692"/>
      <c r="G692"/>
      <c r="H692" s="94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</row>
    <row r="693" spans="2:39" s="144" customFormat="1" ht="15.75" customHeight="1" x14ac:dyDescent="0.25">
      <c r="B693"/>
      <c r="C693"/>
      <c r="D693"/>
      <c r="E693"/>
      <c r="F693"/>
      <c r="G693"/>
      <c r="H693" s="94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</row>
    <row r="694" spans="2:39" s="144" customFormat="1" ht="15.75" customHeight="1" x14ac:dyDescent="0.25">
      <c r="B694"/>
      <c r="C694"/>
      <c r="D694"/>
      <c r="E694"/>
      <c r="F694"/>
      <c r="G694"/>
      <c r="H694" s="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</row>
    <row r="695" spans="2:39" s="144" customFormat="1" ht="15.75" customHeight="1" x14ac:dyDescent="0.25">
      <c r="B695"/>
      <c r="C695"/>
      <c r="D695"/>
      <c r="E695"/>
      <c r="F695"/>
      <c r="G695"/>
      <c r="H695" s="94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</row>
    <row r="696" spans="2:39" s="144" customFormat="1" ht="15.75" customHeight="1" x14ac:dyDescent="0.25">
      <c r="B696"/>
      <c r="C696"/>
      <c r="D696"/>
      <c r="E696"/>
      <c r="F696"/>
      <c r="G696"/>
      <c r="H696" s="94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</row>
    <row r="697" spans="2:39" s="144" customFormat="1" ht="15.75" customHeight="1" x14ac:dyDescent="0.25">
      <c r="B697"/>
      <c r="C697"/>
      <c r="D697"/>
      <c r="E697"/>
      <c r="F697"/>
      <c r="G697"/>
      <c r="H697" s="94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</row>
    <row r="698" spans="2:39" s="144" customFormat="1" ht="15.75" customHeight="1" x14ac:dyDescent="0.25">
      <c r="B698"/>
      <c r="C698"/>
      <c r="D698"/>
      <c r="E698"/>
      <c r="F698"/>
      <c r="G698"/>
      <c r="H698" s="94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</row>
    <row r="699" spans="2:39" s="144" customFormat="1" ht="15.75" customHeight="1" x14ac:dyDescent="0.25">
      <c r="B699"/>
      <c r="C699"/>
      <c r="D699"/>
      <c r="E699"/>
      <c r="F699"/>
      <c r="G699"/>
      <c r="H699" s="94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</row>
    <row r="700" spans="2:39" s="144" customFormat="1" ht="15.75" customHeight="1" x14ac:dyDescent="0.25">
      <c r="B700"/>
      <c r="C700"/>
      <c r="D700"/>
      <c r="E700"/>
      <c r="F700"/>
      <c r="G700"/>
      <c r="H700" s="94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</row>
    <row r="701" spans="2:39" s="144" customFormat="1" ht="15.75" customHeight="1" x14ac:dyDescent="0.25">
      <c r="B701"/>
      <c r="C701"/>
      <c r="D701"/>
      <c r="E701"/>
      <c r="F701"/>
      <c r="G701"/>
      <c r="H701" s="94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</row>
    <row r="702" spans="2:39" s="144" customFormat="1" ht="15.75" customHeight="1" x14ac:dyDescent="0.25">
      <c r="B702"/>
      <c r="C702"/>
      <c r="D702"/>
      <c r="E702"/>
      <c r="F702"/>
      <c r="G702"/>
      <c r="H702" s="94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</row>
    <row r="703" spans="2:39" s="144" customFormat="1" ht="15.75" customHeight="1" x14ac:dyDescent="0.25">
      <c r="B703"/>
      <c r="C703"/>
      <c r="D703"/>
      <c r="E703"/>
      <c r="F703"/>
      <c r="G703"/>
      <c r="H703" s="94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</row>
    <row r="704" spans="2:39" s="144" customFormat="1" ht="15.75" customHeight="1" x14ac:dyDescent="0.25">
      <c r="B704"/>
      <c r="C704"/>
      <c r="D704"/>
      <c r="E704"/>
      <c r="F704"/>
      <c r="G704"/>
      <c r="H704" s="9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</row>
    <row r="705" spans="2:39" s="144" customFormat="1" ht="15.75" customHeight="1" x14ac:dyDescent="0.25">
      <c r="B705"/>
      <c r="C705"/>
      <c r="D705"/>
      <c r="E705"/>
      <c r="F705"/>
      <c r="G705"/>
      <c r="H705" s="94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</row>
    <row r="706" spans="2:39" s="144" customFormat="1" ht="15.75" customHeight="1" x14ac:dyDescent="0.25">
      <c r="B706"/>
      <c r="C706"/>
      <c r="D706"/>
      <c r="E706"/>
      <c r="F706"/>
      <c r="G706"/>
      <c r="H706" s="94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</row>
    <row r="707" spans="2:39" s="144" customFormat="1" ht="15.75" customHeight="1" x14ac:dyDescent="0.25">
      <c r="B707"/>
      <c r="C707"/>
      <c r="D707"/>
      <c r="E707"/>
      <c r="F707"/>
      <c r="G707"/>
      <c r="H707" s="94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</row>
    <row r="708" spans="2:39" s="144" customFormat="1" ht="15.75" customHeight="1" x14ac:dyDescent="0.25">
      <c r="B708"/>
      <c r="C708"/>
      <c r="D708"/>
      <c r="E708"/>
      <c r="F708"/>
      <c r="G708"/>
      <c r="H708" s="94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</row>
    <row r="709" spans="2:39" s="144" customFormat="1" ht="15.75" customHeight="1" x14ac:dyDescent="0.25">
      <c r="B709"/>
      <c r="C709"/>
      <c r="D709"/>
      <c r="E709"/>
      <c r="F709"/>
      <c r="G709"/>
      <c r="H709" s="94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</row>
    <row r="710" spans="2:39" s="144" customFormat="1" ht="15.75" customHeight="1" x14ac:dyDescent="0.25">
      <c r="B710"/>
      <c r="C710"/>
      <c r="D710"/>
      <c r="E710"/>
      <c r="F710"/>
      <c r="G710"/>
      <c r="H710" s="94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</row>
    <row r="711" spans="2:39" s="144" customFormat="1" ht="15.75" customHeight="1" x14ac:dyDescent="0.25">
      <c r="B711"/>
      <c r="C711"/>
      <c r="D711"/>
      <c r="E711"/>
      <c r="F711"/>
      <c r="G711"/>
      <c r="H711" s="94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</row>
    <row r="712" spans="2:39" s="144" customFormat="1" ht="15.75" customHeight="1" x14ac:dyDescent="0.25">
      <c r="B712"/>
      <c r="C712"/>
      <c r="D712"/>
      <c r="E712"/>
      <c r="F712"/>
      <c r="G712"/>
      <c r="H712" s="94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</row>
    <row r="713" spans="2:39" s="144" customFormat="1" ht="15.75" customHeight="1" x14ac:dyDescent="0.25">
      <c r="B713"/>
      <c r="C713"/>
      <c r="D713"/>
      <c r="E713"/>
      <c r="F713"/>
      <c r="G713"/>
      <c r="H713" s="94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</row>
    <row r="714" spans="2:39" s="144" customFormat="1" ht="15.75" customHeight="1" x14ac:dyDescent="0.25">
      <c r="B714"/>
      <c r="C714"/>
      <c r="D714"/>
      <c r="E714"/>
      <c r="F714"/>
      <c r="G714"/>
      <c r="H714" s="9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</row>
    <row r="715" spans="2:39" s="144" customFormat="1" ht="15.75" customHeight="1" x14ac:dyDescent="0.25">
      <c r="B715"/>
      <c r="C715"/>
      <c r="D715"/>
      <c r="E715"/>
      <c r="F715"/>
      <c r="G715"/>
      <c r="H715" s="94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</row>
    <row r="716" spans="2:39" s="144" customFormat="1" ht="15.75" customHeight="1" x14ac:dyDescent="0.25">
      <c r="B716"/>
      <c r="C716"/>
      <c r="D716"/>
      <c r="E716"/>
      <c r="F716"/>
      <c r="G716"/>
      <c r="H716" s="94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</row>
    <row r="717" spans="2:39" s="144" customFormat="1" ht="15.75" customHeight="1" x14ac:dyDescent="0.25">
      <c r="B717"/>
      <c r="C717"/>
      <c r="D717"/>
      <c r="E717"/>
      <c r="F717"/>
      <c r="G717"/>
      <c r="H717" s="94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</row>
    <row r="718" spans="2:39" s="144" customFormat="1" ht="15.75" customHeight="1" x14ac:dyDescent="0.25">
      <c r="B718"/>
      <c r="C718"/>
      <c r="D718"/>
      <c r="E718"/>
      <c r="F718"/>
      <c r="G718"/>
      <c r="H718" s="94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</row>
    <row r="719" spans="2:39" s="144" customFormat="1" ht="15.75" customHeight="1" x14ac:dyDescent="0.25">
      <c r="B719"/>
      <c r="C719"/>
      <c r="D719"/>
      <c r="E719"/>
      <c r="F719"/>
      <c r="G719"/>
      <c r="H719" s="94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</row>
    <row r="720" spans="2:39" s="144" customFormat="1" ht="15.75" customHeight="1" x14ac:dyDescent="0.25">
      <c r="B720"/>
      <c r="C720"/>
      <c r="D720"/>
      <c r="E720"/>
      <c r="F720"/>
      <c r="G720"/>
      <c r="H720" s="94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</row>
    <row r="721" spans="2:39" s="144" customFormat="1" ht="15.75" customHeight="1" x14ac:dyDescent="0.25">
      <c r="B721"/>
      <c r="C721"/>
      <c r="D721"/>
      <c r="E721"/>
      <c r="F721"/>
      <c r="G721"/>
      <c r="H721" s="94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</row>
    <row r="722" spans="2:39" s="144" customFormat="1" ht="15.75" customHeight="1" x14ac:dyDescent="0.25">
      <c r="B722"/>
      <c r="C722"/>
      <c r="D722"/>
      <c r="E722"/>
      <c r="F722"/>
      <c r="G722"/>
      <c r="H722" s="94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</row>
    <row r="723" spans="2:39" s="144" customFormat="1" ht="15.75" customHeight="1" x14ac:dyDescent="0.25">
      <c r="B723"/>
      <c r="C723"/>
      <c r="D723"/>
      <c r="E723"/>
      <c r="F723"/>
      <c r="G723"/>
      <c r="H723" s="94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</row>
    <row r="724" spans="2:39" s="144" customFormat="1" ht="15.75" customHeight="1" x14ac:dyDescent="0.25">
      <c r="B724"/>
      <c r="C724"/>
      <c r="D724"/>
      <c r="E724"/>
      <c r="F724"/>
      <c r="G724"/>
      <c r="H724" s="9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</row>
    <row r="725" spans="2:39" s="144" customFormat="1" ht="15.75" customHeight="1" x14ac:dyDescent="0.25">
      <c r="B725"/>
      <c r="C725"/>
      <c r="D725"/>
      <c r="E725"/>
      <c r="F725"/>
      <c r="G725"/>
      <c r="H725" s="94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</row>
    <row r="726" spans="2:39" s="144" customFormat="1" ht="15.75" customHeight="1" x14ac:dyDescent="0.25">
      <c r="B726"/>
      <c r="C726"/>
      <c r="D726"/>
      <c r="E726"/>
      <c r="F726"/>
      <c r="G726"/>
      <c r="H726" s="94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</row>
    <row r="727" spans="2:39" s="144" customFormat="1" ht="15.75" customHeight="1" x14ac:dyDescent="0.25">
      <c r="B727"/>
      <c r="C727"/>
      <c r="D727"/>
      <c r="E727"/>
      <c r="F727"/>
      <c r="G727"/>
      <c r="H727" s="94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</row>
    <row r="728" spans="2:39" s="144" customFormat="1" ht="15.75" customHeight="1" x14ac:dyDescent="0.25">
      <c r="B728"/>
      <c r="C728"/>
      <c r="D728"/>
      <c r="E728"/>
      <c r="F728"/>
      <c r="G728"/>
      <c r="H728" s="94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</row>
    <row r="729" spans="2:39" s="144" customFormat="1" ht="15.75" customHeight="1" x14ac:dyDescent="0.25">
      <c r="B729"/>
      <c r="C729"/>
      <c r="D729"/>
      <c r="E729"/>
      <c r="F729"/>
      <c r="G729"/>
      <c r="H729" s="94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</row>
    <row r="730" spans="2:39" s="144" customFormat="1" ht="15.75" customHeight="1" x14ac:dyDescent="0.25">
      <c r="B730"/>
      <c r="C730"/>
      <c r="D730"/>
      <c r="E730"/>
      <c r="F730"/>
      <c r="G730"/>
      <c r="H730" s="94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</row>
    <row r="731" spans="2:39" s="144" customFormat="1" ht="15.75" customHeight="1" x14ac:dyDescent="0.25">
      <c r="B731"/>
      <c r="C731"/>
      <c r="D731"/>
      <c r="E731"/>
      <c r="F731"/>
      <c r="G731"/>
      <c r="H731" s="94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</row>
    <row r="732" spans="2:39" s="144" customFormat="1" ht="15.75" customHeight="1" x14ac:dyDescent="0.25">
      <c r="B732"/>
      <c r="C732"/>
      <c r="D732"/>
      <c r="E732"/>
      <c r="F732"/>
      <c r="G732"/>
      <c r="H732" s="94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</row>
    <row r="733" spans="2:39" s="144" customFormat="1" ht="15.75" customHeight="1" x14ac:dyDescent="0.25">
      <c r="B733"/>
      <c r="C733"/>
      <c r="D733"/>
      <c r="E733"/>
      <c r="F733"/>
      <c r="G733"/>
      <c r="H733" s="94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</row>
    <row r="734" spans="2:39" s="144" customFormat="1" ht="15.75" customHeight="1" x14ac:dyDescent="0.25">
      <c r="B734"/>
      <c r="C734"/>
      <c r="D734"/>
      <c r="E734"/>
      <c r="F734"/>
      <c r="G734"/>
      <c r="H734" s="9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</row>
    <row r="735" spans="2:39" s="144" customFormat="1" ht="15.75" customHeight="1" x14ac:dyDescent="0.25">
      <c r="B735"/>
      <c r="C735"/>
      <c r="D735"/>
      <c r="E735"/>
      <c r="F735"/>
      <c r="G735"/>
      <c r="H735" s="94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</row>
    <row r="736" spans="2:39" s="144" customFormat="1" ht="15.75" customHeight="1" x14ac:dyDescent="0.25">
      <c r="B736"/>
      <c r="C736"/>
      <c r="D736"/>
      <c r="E736"/>
      <c r="F736"/>
      <c r="G736"/>
      <c r="H736" s="94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</row>
    <row r="737" spans="2:39" s="144" customFormat="1" ht="15.75" customHeight="1" x14ac:dyDescent="0.25">
      <c r="B737"/>
      <c r="C737"/>
      <c r="D737"/>
      <c r="E737"/>
      <c r="F737"/>
      <c r="G737"/>
      <c r="H737" s="94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</row>
    <row r="738" spans="2:39" s="144" customFormat="1" ht="15.75" customHeight="1" x14ac:dyDescent="0.25">
      <c r="B738"/>
      <c r="C738"/>
      <c r="D738"/>
      <c r="E738"/>
      <c r="F738"/>
      <c r="G738"/>
      <c r="H738" s="94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</row>
    <row r="739" spans="2:39" s="144" customFormat="1" ht="15.75" customHeight="1" x14ac:dyDescent="0.25">
      <c r="B739"/>
      <c r="C739"/>
      <c r="D739"/>
      <c r="E739"/>
      <c r="F739"/>
      <c r="G739"/>
      <c r="H739" s="94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</row>
    <row r="740" spans="2:39" s="144" customFormat="1" ht="15.75" customHeight="1" x14ac:dyDescent="0.25">
      <c r="B740"/>
      <c r="C740"/>
      <c r="D740"/>
      <c r="E740"/>
      <c r="F740"/>
      <c r="G740"/>
      <c r="H740" s="94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</row>
    <row r="741" spans="2:39" s="144" customFormat="1" ht="15.75" customHeight="1" x14ac:dyDescent="0.25">
      <c r="B741"/>
      <c r="C741"/>
      <c r="D741"/>
      <c r="E741"/>
      <c r="F741"/>
      <c r="G741"/>
      <c r="H741" s="94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</row>
    <row r="742" spans="2:39" s="144" customFormat="1" ht="15.75" customHeight="1" x14ac:dyDescent="0.25">
      <c r="B742"/>
      <c r="C742"/>
      <c r="D742"/>
      <c r="E742"/>
      <c r="F742"/>
      <c r="G742"/>
      <c r="H742" s="94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</row>
    <row r="743" spans="2:39" s="144" customFormat="1" ht="15.75" customHeight="1" x14ac:dyDescent="0.25">
      <c r="B743"/>
      <c r="C743"/>
      <c r="D743"/>
      <c r="E743"/>
      <c r="F743"/>
      <c r="G743"/>
      <c r="H743" s="94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</row>
    <row r="744" spans="2:39" s="144" customFormat="1" ht="15.75" customHeight="1" x14ac:dyDescent="0.25">
      <c r="B744"/>
      <c r="C744"/>
      <c r="D744"/>
      <c r="E744"/>
      <c r="F744"/>
      <c r="G744"/>
      <c r="H744" s="9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</row>
    <row r="745" spans="2:39" s="144" customFormat="1" ht="15.75" customHeight="1" x14ac:dyDescent="0.25">
      <c r="B745"/>
      <c r="C745"/>
      <c r="D745"/>
      <c r="E745"/>
      <c r="F745"/>
      <c r="G745"/>
      <c r="H745" s="94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</row>
    <row r="746" spans="2:39" s="144" customFormat="1" ht="15.75" customHeight="1" x14ac:dyDescent="0.25">
      <c r="B746"/>
      <c r="C746"/>
      <c r="D746"/>
      <c r="E746"/>
      <c r="F746"/>
      <c r="G746"/>
      <c r="H746" s="94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</row>
    <row r="747" spans="2:39" s="144" customFormat="1" ht="15.75" customHeight="1" x14ac:dyDescent="0.25">
      <c r="B747"/>
      <c r="C747"/>
      <c r="D747"/>
      <c r="E747"/>
      <c r="F747"/>
      <c r="G747"/>
      <c r="H747" s="94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</row>
    <row r="748" spans="2:39" s="144" customFormat="1" ht="15.75" customHeight="1" x14ac:dyDescent="0.25">
      <c r="B748"/>
      <c r="C748"/>
      <c r="D748"/>
      <c r="E748"/>
      <c r="F748"/>
      <c r="G748"/>
      <c r="H748" s="94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</row>
    <row r="749" spans="2:39" s="144" customFormat="1" ht="15.75" customHeight="1" x14ac:dyDescent="0.25">
      <c r="B749"/>
      <c r="C749"/>
      <c r="D749"/>
      <c r="E749"/>
      <c r="F749"/>
      <c r="G749"/>
      <c r="H749" s="94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</row>
    <row r="750" spans="2:39" s="144" customFormat="1" ht="15.75" customHeight="1" x14ac:dyDescent="0.25">
      <c r="B750"/>
      <c r="C750"/>
      <c r="D750"/>
      <c r="E750"/>
      <c r="F750"/>
      <c r="G750"/>
      <c r="H750" s="94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</row>
    <row r="751" spans="2:39" s="144" customFormat="1" ht="15.75" customHeight="1" x14ac:dyDescent="0.25">
      <c r="B751"/>
      <c r="C751"/>
      <c r="D751"/>
      <c r="E751"/>
      <c r="F751"/>
      <c r="G751"/>
      <c r="H751" s="94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</row>
    <row r="752" spans="2:39" s="144" customFormat="1" ht="15.75" customHeight="1" x14ac:dyDescent="0.25">
      <c r="B752"/>
      <c r="C752"/>
      <c r="D752"/>
      <c r="E752"/>
      <c r="F752"/>
      <c r="G752"/>
      <c r="H752" s="94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</row>
    <row r="753" spans="2:39" s="144" customFormat="1" ht="15.75" customHeight="1" x14ac:dyDescent="0.25">
      <c r="B753"/>
      <c r="C753"/>
      <c r="D753"/>
      <c r="E753"/>
      <c r="F753"/>
      <c r="G753"/>
      <c r="H753" s="94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</row>
    <row r="754" spans="2:39" s="144" customFormat="1" ht="15.75" customHeight="1" x14ac:dyDescent="0.25">
      <c r="B754"/>
      <c r="C754"/>
      <c r="D754"/>
      <c r="E754"/>
      <c r="F754"/>
      <c r="G754"/>
      <c r="H754" s="9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</row>
    <row r="755" spans="2:39" s="144" customFormat="1" ht="15.75" customHeight="1" x14ac:dyDescent="0.25">
      <c r="B755"/>
      <c r="C755"/>
      <c r="D755"/>
      <c r="E755"/>
      <c r="F755"/>
      <c r="G755"/>
      <c r="H755" s="94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</row>
    <row r="756" spans="2:39" s="144" customFormat="1" ht="15.75" customHeight="1" x14ac:dyDescent="0.25">
      <c r="B756"/>
      <c r="C756"/>
      <c r="D756"/>
      <c r="E756"/>
      <c r="F756"/>
      <c r="G756"/>
      <c r="H756" s="94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</row>
    <row r="757" spans="2:39" s="144" customFormat="1" ht="15.75" customHeight="1" x14ac:dyDescent="0.25">
      <c r="B757"/>
      <c r="C757"/>
      <c r="D757"/>
      <c r="E757"/>
      <c r="F757"/>
      <c r="G757"/>
      <c r="H757" s="94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</row>
    <row r="758" spans="2:39" s="144" customFormat="1" ht="15.75" customHeight="1" x14ac:dyDescent="0.25">
      <c r="B758"/>
      <c r="C758"/>
      <c r="D758"/>
      <c r="E758"/>
      <c r="F758"/>
      <c r="G758"/>
      <c r="H758" s="94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</row>
    <row r="759" spans="2:39" s="144" customFormat="1" ht="15.75" customHeight="1" x14ac:dyDescent="0.25">
      <c r="B759"/>
      <c r="C759"/>
      <c r="D759"/>
      <c r="E759"/>
      <c r="F759"/>
      <c r="G759"/>
      <c r="H759" s="94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</row>
    <row r="760" spans="2:39" s="144" customFormat="1" ht="15.75" customHeight="1" x14ac:dyDescent="0.25">
      <c r="B760"/>
      <c r="C760"/>
      <c r="D760"/>
      <c r="E760"/>
      <c r="F760"/>
      <c r="G760"/>
      <c r="H760" s="94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</row>
    <row r="761" spans="2:39" s="144" customFormat="1" ht="15.75" customHeight="1" x14ac:dyDescent="0.25">
      <c r="B761"/>
      <c r="C761"/>
      <c r="D761"/>
      <c r="E761"/>
      <c r="F761"/>
      <c r="G761"/>
      <c r="H761" s="94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</row>
    <row r="762" spans="2:39" s="144" customFormat="1" ht="15.75" customHeight="1" x14ac:dyDescent="0.25">
      <c r="B762"/>
      <c r="C762"/>
      <c r="D762"/>
      <c r="E762"/>
      <c r="F762"/>
      <c r="G762"/>
      <c r="H762" s="94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</row>
    <row r="763" spans="2:39" s="144" customFormat="1" ht="15.75" customHeight="1" x14ac:dyDescent="0.25">
      <c r="B763"/>
      <c r="C763"/>
      <c r="D763"/>
      <c r="E763"/>
      <c r="F763"/>
      <c r="G763"/>
      <c r="H763" s="94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</row>
    <row r="764" spans="2:39" s="144" customFormat="1" ht="15.75" customHeight="1" x14ac:dyDescent="0.25">
      <c r="B764"/>
      <c r="C764"/>
      <c r="D764"/>
      <c r="E764"/>
      <c r="F764"/>
      <c r="G764"/>
      <c r="H764" s="9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</row>
    <row r="765" spans="2:39" s="144" customFormat="1" ht="15.75" customHeight="1" x14ac:dyDescent="0.25">
      <c r="B765"/>
      <c r="C765"/>
      <c r="D765"/>
      <c r="E765"/>
      <c r="F765"/>
      <c r="G765"/>
      <c r="H765" s="94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</row>
    <row r="766" spans="2:39" s="144" customFormat="1" ht="15.75" customHeight="1" x14ac:dyDescent="0.25">
      <c r="B766"/>
      <c r="C766"/>
      <c r="D766"/>
      <c r="E766"/>
      <c r="F766"/>
      <c r="G766"/>
      <c r="H766" s="94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</row>
    <row r="767" spans="2:39" s="144" customFormat="1" ht="15.75" customHeight="1" x14ac:dyDescent="0.25">
      <c r="B767"/>
      <c r="C767"/>
      <c r="D767"/>
      <c r="E767"/>
      <c r="F767"/>
      <c r="G767"/>
      <c r="H767" s="94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</row>
    <row r="768" spans="2:39" s="144" customFormat="1" ht="15.75" customHeight="1" x14ac:dyDescent="0.25">
      <c r="B768"/>
      <c r="C768"/>
      <c r="D768"/>
      <c r="E768"/>
      <c r="F768"/>
      <c r="G768"/>
      <c r="H768" s="94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</row>
    <row r="769" spans="2:39" s="144" customFormat="1" ht="15.75" customHeight="1" x14ac:dyDescent="0.25">
      <c r="B769"/>
      <c r="C769"/>
      <c r="D769"/>
      <c r="E769"/>
      <c r="F769"/>
      <c r="G769"/>
      <c r="H769" s="94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</row>
    <row r="770" spans="2:39" s="144" customFormat="1" ht="15.75" customHeight="1" x14ac:dyDescent="0.25">
      <c r="B770"/>
      <c r="C770"/>
      <c r="D770"/>
      <c r="E770"/>
      <c r="F770"/>
      <c r="G770"/>
      <c r="H770" s="94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</row>
    <row r="771" spans="2:39" s="144" customFormat="1" ht="15.75" customHeight="1" x14ac:dyDescent="0.25">
      <c r="B771"/>
      <c r="C771"/>
      <c r="D771"/>
      <c r="E771"/>
      <c r="F771"/>
      <c r="G771"/>
      <c r="H771" s="94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</row>
    <row r="772" spans="2:39" s="144" customFormat="1" ht="15.75" customHeight="1" x14ac:dyDescent="0.25">
      <c r="B772"/>
      <c r="C772"/>
      <c r="D772"/>
      <c r="E772"/>
      <c r="F772"/>
      <c r="G772"/>
      <c r="H772" s="94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</row>
    <row r="773" spans="2:39" s="144" customFormat="1" ht="15.75" customHeight="1" x14ac:dyDescent="0.25">
      <c r="B773"/>
      <c r="C773"/>
      <c r="D773"/>
      <c r="E773"/>
      <c r="F773"/>
      <c r="G773"/>
      <c r="H773" s="94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</row>
    <row r="774" spans="2:39" s="144" customFormat="1" ht="15.75" customHeight="1" x14ac:dyDescent="0.25">
      <c r="B774"/>
      <c r="C774"/>
      <c r="D774"/>
      <c r="E774"/>
      <c r="F774"/>
      <c r="G774"/>
      <c r="H774" s="9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</row>
    <row r="775" spans="2:39" s="144" customFormat="1" ht="15.75" customHeight="1" x14ac:dyDescent="0.25">
      <c r="B775"/>
      <c r="C775"/>
      <c r="D775"/>
      <c r="E775"/>
      <c r="F775"/>
      <c r="G775"/>
      <c r="H775" s="94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</row>
    <row r="776" spans="2:39" s="144" customFormat="1" ht="15.75" customHeight="1" x14ac:dyDescent="0.25">
      <c r="B776"/>
      <c r="C776"/>
      <c r="D776"/>
      <c r="E776"/>
      <c r="F776"/>
      <c r="G776"/>
      <c r="H776" s="94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</row>
    <row r="777" spans="2:39" s="144" customFormat="1" ht="15.75" customHeight="1" x14ac:dyDescent="0.25">
      <c r="B777"/>
      <c r="C777"/>
      <c r="D777"/>
      <c r="E777"/>
      <c r="F777"/>
      <c r="G777"/>
      <c r="H777" s="94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</row>
    <row r="778" spans="2:39" s="144" customFormat="1" ht="15.75" customHeight="1" x14ac:dyDescent="0.25">
      <c r="B778"/>
      <c r="C778"/>
      <c r="D778"/>
      <c r="E778"/>
      <c r="F778"/>
      <c r="G778"/>
      <c r="H778" s="94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</row>
    <row r="779" spans="2:39" s="144" customFormat="1" ht="15.75" customHeight="1" x14ac:dyDescent="0.25">
      <c r="B779"/>
      <c r="C779"/>
      <c r="D779"/>
      <c r="E779"/>
      <c r="F779"/>
      <c r="G779"/>
      <c r="H779" s="94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</row>
    <row r="780" spans="2:39" s="144" customFormat="1" ht="15.75" customHeight="1" x14ac:dyDescent="0.25">
      <c r="B780"/>
      <c r="C780"/>
      <c r="D780"/>
      <c r="E780"/>
      <c r="F780"/>
      <c r="G780"/>
      <c r="H780" s="94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</row>
    <row r="781" spans="2:39" s="144" customFormat="1" ht="15.75" customHeight="1" x14ac:dyDescent="0.25">
      <c r="B781"/>
      <c r="C781"/>
      <c r="D781"/>
      <c r="E781"/>
      <c r="F781"/>
      <c r="G781"/>
      <c r="H781" s="94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</row>
    <row r="782" spans="2:39" s="144" customFormat="1" ht="15.75" customHeight="1" x14ac:dyDescent="0.25">
      <c r="B782"/>
      <c r="C782"/>
      <c r="D782"/>
      <c r="E782"/>
      <c r="F782"/>
      <c r="G782"/>
      <c r="H782" s="94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</row>
    <row r="783" spans="2:39" s="144" customFormat="1" ht="15.75" customHeight="1" x14ac:dyDescent="0.25">
      <c r="B783"/>
      <c r="C783"/>
      <c r="D783"/>
      <c r="E783"/>
      <c r="F783"/>
      <c r="G783"/>
      <c r="H783" s="94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</row>
    <row r="784" spans="2:39" s="144" customFormat="1" ht="15.75" customHeight="1" x14ac:dyDescent="0.25">
      <c r="B784"/>
      <c r="C784"/>
      <c r="D784"/>
      <c r="E784"/>
      <c r="F784"/>
      <c r="G784"/>
      <c r="H784" s="9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</row>
    <row r="785" spans="2:39" s="144" customFormat="1" ht="15.75" customHeight="1" x14ac:dyDescent="0.25">
      <c r="B785"/>
      <c r="C785"/>
      <c r="D785"/>
      <c r="E785"/>
      <c r="F785"/>
      <c r="G785"/>
      <c r="H785" s="94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</row>
    <row r="786" spans="2:39" s="144" customFormat="1" ht="15.75" customHeight="1" x14ac:dyDescent="0.25">
      <c r="B786"/>
      <c r="C786"/>
      <c r="D786"/>
      <c r="E786"/>
      <c r="F786"/>
      <c r="G786"/>
      <c r="H786" s="94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</row>
    <row r="787" spans="2:39" s="144" customFormat="1" ht="15.75" customHeight="1" x14ac:dyDescent="0.25">
      <c r="B787"/>
      <c r="C787"/>
      <c r="D787"/>
      <c r="E787"/>
      <c r="F787"/>
      <c r="G787"/>
      <c r="H787" s="94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</row>
    <row r="788" spans="2:39" s="144" customFormat="1" ht="15.75" customHeight="1" x14ac:dyDescent="0.25">
      <c r="B788"/>
      <c r="C788"/>
      <c r="D788"/>
      <c r="E788"/>
      <c r="F788"/>
      <c r="G788"/>
      <c r="H788" s="94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</row>
    <row r="789" spans="2:39" s="144" customFormat="1" ht="15.75" customHeight="1" x14ac:dyDescent="0.25">
      <c r="B789"/>
      <c r="C789"/>
      <c r="D789"/>
      <c r="E789"/>
      <c r="F789"/>
      <c r="G789"/>
      <c r="H789" s="94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</row>
    <row r="790" spans="2:39" s="144" customFormat="1" ht="15.75" customHeight="1" x14ac:dyDescent="0.25">
      <c r="B790"/>
      <c r="C790"/>
      <c r="D790"/>
      <c r="E790"/>
      <c r="F790"/>
      <c r="G790"/>
      <c r="H790" s="94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</row>
    <row r="791" spans="2:39" s="144" customFormat="1" ht="15.75" customHeight="1" x14ac:dyDescent="0.25">
      <c r="B791"/>
      <c r="C791"/>
      <c r="D791"/>
      <c r="E791"/>
      <c r="F791"/>
      <c r="G791"/>
      <c r="H791" s="94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</row>
    <row r="792" spans="2:39" s="144" customFormat="1" ht="15.75" customHeight="1" x14ac:dyDescent="0.25">
      <c r="B792"/>
      <c r="C792"/>
      <c r="D792"/>
      <c r="E792"/>
      <c r="F792"/>
      <c r="G792"/>
      <c r="H792" s="94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</row>
    <row r="793" spans="2:39" s="144" customFormat="1" ht="15.75" customHeight="1" x14ac:dyDescent="0.25">
      <c r="B793"/>
      <c r="C793"/>
      <c r="D793"/>
      <c r="E793"/>
      <c r="F793"/>
      <c r="G793"/>
      <c r="H793" s="94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</row>
    <row r="794" spans="2:39" s="144" customFormat="1" ht="15.75" customHeight="1" x14ac:dyDescent="0.25">
      <c r="B794"/>
      <c r="C794"/>
      <c r="D794"/>
      <c r="E794"/>
      <c r="F794"/>
      <c r="G794"/>
      <c r="H794" s="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</row>
    <row r="795" spans="2:39" s="144" customFormat="1" ht="15.75" customHeight="1" x14ac:dyDescent="0.25">
      <c r="B795"/>
      <c r="C795"/>
      <c r="D795"/>
      <c r="E795"/>
      <c r="F795"/>
      <c r="G795"/>
      <c r="H795" s="94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</row>
    <row r="796" spans="2:39" s="144" customFormat="1" ht="15.75" customHeight="1" x14ac:dyDescent="0.25">
      <c r="B796"/>
      <c r="C796"/>
      <c r="D796"/>
      <c r="E796"/>
      <c r="F796"/>
      <c r="G796"/>
      <c r="H796" s="94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</row>
    <row r="797" spans="2:39" s="144" customFormat="1" ht="15.75" customHeight="1" x14ac:dyDescent="0.25">
      <c r="B797"/>
      <c r="C797"/>
      <c r="D797"/>
      <c r="E797"/>
      <c r="F797"/>
      <c r="G797"/>
      <c r="H797" s="94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</row>
    <row r="798" spans="2:39" s="144" customFormat="1" ht="15.75" customHeight="1" x14ac:dyDescent="0.25">
      <c r="B798"/>
      <c r="C798"/>
      <c r="D798"/>
      <c r="E798"/>
      <c r="F798"/>
      <c r="G798"/>
      <c r="H798" s="94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</row>
    <row r="799" spans="2:39" s="144" customFormat="1" ht="15.75" customHeight="1" x14ac:dyDescent="0.25">
      <c r="B799"/>
      <c r="C799"/>
      <c r="D799"/>
      <c r="E799"/>
      <c r="F799"/>
      <c r="G799"/>
      <c r="H799" s="94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</row>
    <row r="800" spans="2:39" s="144" customFormat="1" ht="15.75" customHeight="1" x14ac:dyDescent="0.25">
      <c r="B800"/>
      <c r="C800"/>
      <c r="D800"/>
      <c r="E800"/>
      <c r="F800"/>
      <c r="G800"/>
      <c r="H800" s="94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</row>
    <row r="801" spans="2:39" s="144" customFormat="1" ht="15.75" customHeight="1" x14ac:dyDescent="0.25">
      <c r="B801"/>
      <c r="C801"/>
      <c r="D801"/>
      <c r="E801"/>
      <c r="F801"/>
      <c r="G801"/>
      <c r="H801" s="94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</row>
    <row r="802" spans="2:39" s="144" customFormat="1" ht="15.75" customHeight="1" x14ac:dyDescent="0.25">
      <c r="B802"/>
      <c r="C802"/>
      <c r="D802"/>
      <c r="E802"/>
      <c r="F802"/>
      <c r="G802"/>
      <c r="H802" s="94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</row>
    <row r="803" spans="2:39" s="144" customFormat="1" ht="15.75" customHeight="1" x14ac:dyDescent="0.25">
      <c r="B803"/>
      <c r="C803"/>
      <c r="D803"/>
      <c r="E803"/>
      <c r="F803"/>
      <c r="G803"/>
      <c r="H803" s="94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</row>
    <row r="804" spans="2:39" s="144" customFormat="1" ht="15.75" customHeight="1" x14ac:dyDescent="0.25">
      <c r="B804"/>
      <c r="C804"/>
      <c r="D804"/>
      <c r="E804"/>
      <c r="F804"/>
      <c r="G804"/>
      <c r="H804" s="9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</row>
    <row r="805" spans="2:39" s="144" customFormat="1" ht="15.75" customHeight="1" x14ac:dyDescent="0.25">
      <c r="B805"/>
      <c r="C805"/>
      <c r="D805"/>
      <c r="E805"/>
      <c r="F805"/>
      <c r="G805"/>
      <c r="H805" s="94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</row>
    <row r="806" spans="2:39" s="144" customFormat="1" ht="15.75" customHeight="1" x14ac:dyDescent="0.25">
      <c r="B806"/>
      <c r="C806"/>
      <c r="D806"/>
      <c r="E806"/>
      <c r="F806"/>
      <c r="G806"/>
      <c r="H806" s="94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</row>
    <row r="807" spans="2:39" s="144" customFormat="1" ht="15.75" customHeight="1" x14ac:dyDescent="0.25">
      <c r="B807"/>
      <c r="C807"/>
      <c r="D807"/>
      <c r="E807"/>
      <c r="F807"/>
      <c r="G807"/>
      <c r="H807" s="94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</row>
    <row r="808" spans="2:39" s="144" customFormat="1" ht="15.75" customHeight="1" x14ac:dyDescent="0.25">
      <c r="B808"/>
      <c r="C808"/>
      <c r="D808"/>
      <c r="E808"/>
      <c r="F808"/>
      <c r="G808"/>
      <c r="H808" s="94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</row>
    <row r="809" spans="2:39" s="144" customFormat="1" ht="15.75" customHeight="1" x14ac:dyDescent="0.25">
      <c r="B809"/>
      <c r="C809"/>
      <c r="D809"/>
      <c r="E809"/>
      <c r="F809"/>
      <c r="G809"/>
      <c r="H809" s="94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</row>
    <row r="810" spans="2:39" s="144" customFormat="1" ht="15.75" customHeight="1" x14ac:dyDescent="0.25">
      <c r="B810"/>
      <c r="C810"/>
      <c r="D810"/>
      <c r="E810"/>
      <c r="F810"/>
      <c r="G810"/>
      <c r="H810" s="94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</row>
    <row r="811" spans="2:39" s="144" customFormat="1" ht="15.75" customHeight="1" x14ac:dyDescent="0.25">
      <c r="B811"/>
      <c r="C811"/>
      <c r="D811"/>
      <c r="E811"/>
      <c r="F811"/>
      <c r="G811"/>
      <c r="H811" s="94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</row>
    <row r="812" spans="2:39" s="144" customFormat="1" ht="15.75" customHeight="1" x14ac:dyDescent="0.25">
      <c r="B812"/>
      <c r="C812"/>
      <c r="D812"/>
      <c r="E812"/>
      <c r="F812"/>
      <c r="G812"/>
      <c r="H812" s="94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</row>
    <row r="813" spans="2:39" s="144" customFormat="1" ht="15.75" customHeight="1" x14ac:dyDescent="0.25">
      <c r="B813"/>
      <c r="C813"/>
      <c r="D813"/>
      <c r="E813"/>
      <c r="F813"/>
      <c r="G813"/>
      <c r="H813" s="94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</row>
    <row r="814" spans="2:39" s="144" customFormat="1" ht="15.75" customHeight="1" x14ac:dyDescent="0.25">
      <c r="B814"/>
      <c r="C814"/>
      <c r="D814"/>
      <c r="E814"/>
      <c r="F814"/>
      <c r="G814"/>
      <c r="H814" s="9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</row>
    <row r="815" spans="2:39" s="144" customFormat="1" ht="15.75" customHeight="1" x14ac:dyDescent="0.25">
      <c r="B815"/>
      <c r="C815"/>
      <c r="D815"/>
      <c r="E815"/>
      <c r="F815"/>
      <c r="G815"/>
      <c r="H815" s="94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</row>
    <row r="816" spans="2:39" s="144" customFormat="1" ht="15.75" customHeight="1" x14ac:dyDescent="0.25">
      <c r="B816"/>
      <c r="C816"/>
      <c r="D816"/>
      <c r="E816"/>
      <c r="F816"/>
      <c r="G816"/>
      <c r="H816" s="94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</row>
    <row r="817" spans="2:39" s="144" customFormat="1" ht="15.75" customHeight="1" x14ac:dyDescent="0.25">
      <c r="B817"/>
      <c r="C817"/>
      <c r="D817"/>
      <c r="E817"/>
      <c r="F817"/>
      <c r="G817"/>
      <c r="H817" s="94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</row>
    <row r="818" spans="2:39" s="144" customFormat="1" ht="15.75" customHeight="1" x14ac:dyDescent="0.25">
      <c r="B818"/>
      <c r="C818"/>
      <c r="D818"/>
      <c r="E818"/>
      <c r="F818"/>
      <c r="G818"/>
      <c r="H818" s="94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</row>
    <row r="819" spans="2:39" s="144" customFormat="1" ht="15.75" customHeight="1" x14ac:dyDescent="0.25">
      <c r="B819"/>
      <c r="C819"/>
      <c r="D819"/>
      <c r="E819"/>
      <c r="F819"/>
      <c r="G819"/>
      <c r="H819" s="94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</row>
    <row r="820" spans="2:39" s="144" customFormat="1" ht="15.75" customHeight="1" x14ac:dyDescent="0.25">
      <c r="B820"/>
      <c r="C820"/>
      <c r="D820"/>
      <c r="E820"/>
      <c r="F820"/>
      <c r="G820"/>
      <c r="H820" s="94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</row>
    <row r="821" spans="2:39" s="144" customFormat="1" ht="15.75" customHeight="1" x14ac:dyDescent="0.25">
      <c r="B821"/>
      <c r="C821"/>
      <c r="D821"/>
      <c r="E821"/>
      <c r="F821"/>
      <c r="G821"/>
      <c r="H821" s="94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</row>
    <row r="822" spans="2:39" s="144" customFormat="1" ht="15.75" customHeight="1" x14ac:dyDescent="0.25">
      <c r="B822"/>
      <c r="C822"/>
      <c r="D822"/>
      <c r="E822"/>
      <c r="F822"/>
      <c r="G822"/>
      <c r="H822" s="94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</row>
    <row r="823" spans="2:39" s="144" customFormat="1" ht="15.75" customHeight="1" x14ac:dyDescent="0.25">
      <c r="B823"/>
      <c r="C823"/>
      <c r="D823"/>
      <c r="E823"/>
      <c r="F823"/>
      <c r="G823"/>
      <c r="H823" s="94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</row>
    <row r="824" spans="2:39" s="144" customFormat="1" ht="15.75" customHeight="1" x14ac:dyDescent="0.25">
      <c r="B824"/>
      <c r="C824"/>
      <c r="D824"/>
      <c r="E824"/>
      <c r="F824"/>
      <c r="G824"/>
      <c r="H824" s="9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</row>
    <row r="825" spans="2:39" s="144" customFormat="1" ht="15.75" customHeight="1" x14ac:dyDescent="0.25">
      <c r="B825"/>
      <c r="C825"/>
      <c r="D825"/>
      <c r="E825"/>
      <c r="F825"/>
      <c r="G825"/>
      <c r="H825" s="94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</row>
    <row r="826" spans="2:39" s="144" customFormat="1" ht="15.75" customHeight="1" x14ac:dyDescent="0.25">
      <c r="B826"/>
      <c r="C826"/>
      <c r="D826"/>
      <c r="E826"/>
      <c r="F826"/>
      <c r="G826"/>
      <c r="H826" s="94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</row>
    <row r="827" spans="2:39" s="144" customFormat="1" ht="15.75" customHeight="1" x14ac:dyDescent="0.25">
      <c r="B827"/>
      <c r="C827"/>
      <c r="D827"/>
      <c r="E827"/>
      <c r="F827"/>
      <c r="G827"/>
      <c r="H827" s="94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</row>
    <row r="828" spans="2:39" s="144" customFormat="1" ht="15.75" customHeight="1" x14ac:dyDescent="0.25">
      <c r="B828"/>
      <c r="C828"/>
      <c r="D828"/>
      <c r="E828"/>
      <c r="F828"/>
      <c r="G828"/>
      <c r="H828" s="94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</row>
    <row r="829" spans="2:39" s="144" customFormat="1" ht="15.75" customHeight="1" x14ac:dyDescent="0.25">
      <c r="B829"/>
      <c r="C829"/>
      <c r="D829"/>
      <c r="E829"/>
      <c r="F829"/>
      <c r="G829"/>
      <c r="H829" s="94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</row>
    <row r="830" spans="2:39" s="144" customFormat="1" ht="15.75" customHeight="1" x14ac:dyDescent="0.25">
      <c r="B830"/>
      <c r="C830"/>
      <c r="D830"/>
      <c r="E830"/>
      <c r="F830"/>
      <c r="G830"/>
      <c r="H830" s="94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</row>
    <row r="831" spans="2:39" s="144" customFormat="1" ht="15.75" customHeight="1" x14ac:dyDescent="0.25">
      <c r="B831"/>
      <c r="C831"/>
      <c r="D831"/>
      <c r="E831"/>
      <c r="F831"/>
      <c r="G831"/>
      <c r="H831" s="94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</row>
    <row r="832" spans="2:39" s="144" customFormat="1" ht="15.75" customHeight="1" x14ac:dyDescent="0.25">
      <c r="B832"/>
      <c r="C832"/>
      <c r="D832"/>
      <c r="E832"/>
      <c r="F832"/>
      <c r="G832"/>
      <c r="H832" s="94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</row>
    <row r="833" spans="2:39" s="144" customFormat="1" ht="15.75" customHeight="1" x14ac:dyDescent="0.25">
      <c r="B833"/>
      <c r="C833"/>
      <c r="D833"/>
      <c r="E833"/>
      <c r="F833"/>
      <c r="G833"/>
      <c r="H833" s="94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</row>
    <row r="834" spans="2:39" s="144" customFormat="1" ht="15.75" customHeight="1" x14ac:dyDescent="0.25">
      <c r="B834"/>
      <c r="C834"/>
      <c r="D834"/>
      <c r="E834"/>
      <c r="F834"/>
      <c r="G834"/>
      <c r="H834" s="9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</row>
    <row r="835" spans="2:39" s="144" customFormat="1" ht="15.75" customHeight="1" x14ac:dyDescent="0.25">
      <c r="B835"/>
      <c r="C835"/>
      <c r="D835"/>
      <c r="E835"/>
      <c r="F835"/>
      <c r="G835"/>
      <c r="H835" s="94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</row>
    <row r="836" spans="2:39" s="144" customFormat="1" ht="15.75" customHeight="1" x14ac:dyDescent="0.25">
      <c r="B836"/>
      <c r="C836"/>
      <c r="D836"/>
      <c r="E836"/>
      <c r="F836"/>
      <c r="G836"/>
      <c r="H836" s="94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</row>
    <row r="837" spans="2:39" s="144" customFormat="1" ht="15.75" customHeight="1" x14ac:dyDescent="0.25">
      <c r="B837"/>
      <c r="C837"/>
      <c r="D837"/>
      <c r="E837"/>
      <c r="F837"/>
      <c r="G837"/>
      <c r="H837" s="94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</row>
    <row r="838" spans="2:39" s="144" customFormat="1" ht="15.75" customHeight="1" x14ac:dyDescent="0.25">
      <c r="B838"/>
      <c r="C838"/>
      <c r="D838"/>
      <c r="E838"/>
      <c r="F838"/>
      <c r="G838"/>
      <c r="H838" s="94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</row>
    <row r="839" spans="2:39" s="144" customFormat="1" ht="15.75" customHeight="1" x14ac:dyDescent="0.25">
      <c r="B839"/>
      <c r="C839"/>
      <c r="D839"/>
      <c r="E839"/>
      <c r="F839"/>
      <c r="G839"/>
      <c r="H839" s="94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</row>
    <row r="840" spans="2:39" s="144" customFormat="1" ht="15.75" customHeight="1" x14ac:dyDescent="0.25">
      <c r="B840"/>
      <c r="C840"/>
      <c r="D840"/>
      <c r="E840"/>
      <c r="F840"/>
      <c r="G840"/>
      <c r="H840" s="94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</row>
    <row r="841" spans="2:39" s="144" customFormat="1" ht="15.75" customHeight="1" x14ac:dyDescent="0.25">
      <c r="B841"/>
      <c r="C841"/>
      <c r="D841"/>
      <c r="E841"/>
      <c r="F841"/>
      <c r="G841"/>
      <c r="H841" s="94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</row>
    <row r="842" spans="2:39" s="144" customFormat="1" ht="15.75" customHeight="1" x14ac:dyDescent="0.25">
      <c r="B842"/>
      <c r="C842"/>
      <c r="D842"/>
      <c r="E842"/>
      <c r="F842"/>
      <c r="G842"/>
      <c r="H842" s="94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</row>
    <row r="843" spans="2:39" s="144" customFormat="1" ht="15.75" customHeight="1" x14ac:dyDescent="0.25">
      <c r="B843"/>
      <c r="C843"/>
      <c r="D843"/>
      <c r="E843"/>
      <c r="F843"/>
      <c r="G843"/>
      <c r="H843" s="94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</row>
    <row r="844" spans="2:39" s="144" customFormat="1" ht="15.75" customHeight="1" x14ac:dyDescent="0.25">
      <c r="B844"/>
      <c r="C844"/>
      <c r="D844"/>
      <c r="E844"/>
      <c r="F844"/>
      <c r="G844"/>
      <c r="H844" s="9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</row>
    <row r="845" spans="2:39" s="144" customFormat="1" ht="15.75" customHeight="1" x14ac:dyDescent="0.25">
      <c r="B845"/>
      <c r="C845"/>
      <c r="D845"/>
      <c r="E845"/>
      <c r="F845"/>
      <c r="G845"/>
      <c r="H845" s="94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</row>
    <row r="846" spans="2:39" s="144" customFormat="1" ht="15.75" customHeight="1" x14ac:dyDescent="0.25">
      <c r="B846"/>
      <c r="C846"/>
      <c r="D846"/>
      <c r="E846"/>
      <c r="F846"/>
      <c r="G846"/>
      <c r="H846" s="94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</row>
    <row r="847" spans="2:39" s="144" customFormat="1" ht="15.75" customHeight="1" x14ac:dyDescent="0.25">
      <c r="B847"/>
      <c r="C847"/>
      <c r="D847"/>
      <c r="E847"/>
      <c r="F847"/>
      <c r="G847"/>
      <c r="H847" s="94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</row>
    <row r="848" spans="2:39" s="144" customFormat="1" ht="15.75" customHeight="1" x14ac:dyDescent="0.25">
      <c r="B848"/>
      <c r="C848"/>
      <c r="D848"/>
      <c r="E848"/>
      <c r="F848"/>
      <c r="G848"/>
      <c r="H848" s="94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</row>
    <row r="849" spans="2:39" s="144" customFormat="1" ht="15.75" customHeight="1" x14ac:dyDescent="0.25">
      <c r="B849"/>
      <c r="C849"/>
      <c r="D849"/>
      <c r="E849"/>
      <c r="F849"/>
      <c r="G849"/>
      <c r="H849" s="94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</row>
    <row r="850" spans="2:39" s="144" customFormat="1" ht="15.75" customHeight="1" x14ac:dyDescent="0.25">
      <c r="B850"/>
      <c r="C850"/>
      <c r="D850"/>
      <c r="E850"/>
      <c r="F850"/>
      <c r="G850"/>
      <c r="H850" s="94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</row>
    <row r="851" spans="2:39" s="144" customFormat="1" ht="15.75" customHeight="1" x14ac:dyDescent="0.25">
      <c r="B851"/>
      <c r="C851"/>
      <c r="D851"/>
      <c r="E851"/>
      <c r="F851"/>
      <c r="G851"/>
      <c r="H851" s="94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</row>
    <row r="852" spans="2:39" s="144" customFormat="1" ht="15.75" customHeight="1" x14ac:dyDescent="0.25">
      <c r="B852"/>
      <c r="C852"/>
      <c r="D852"/>
      <c r="E852"/>
      <c r="F852"/>
      <c r="G852"/>
      <c r="H852" s="94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</row>
    <row r="853" spans="2:39" s="144" customFormat="1" ht="15.75" customHeight="1" x14ac:dyDescent="0.25">
      <c r="B853"/>
      <c r="C853"/>
      <c r="D853"/>
      <c r="E853"/>
      <c r="F853"/>
      <c r="G853"/>
      <c r="H853" s="94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</row>
    <row r="854" spans="2:39" s="144" customFormat="1" ht="15.75" customHeight="1" x14ac:dyDescent="0.25">
      <c r="B854"/>
      <c r="C854"/>
      <c r="D854"/>
      <c r="E854"/>
      <c r="F854"/>
      <c r="G854"/>
      <c r="H854" s="9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</row>
    <row r="855" spans="2:39" s="144" customFormat="1" ht="15.75" customHeight="1" x14ac:dyDescent="0.25">
      <c r="B855"/>
      <c r="C855"/>
      <c r="D855"/>
      <c r="E855"/>
      <c r="F855"/>
      <c r="G855"/>
      <c r="H855" s="94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</row>
    <row r="856" spans="2:39" s="144" customFormat="1" ht="15.75" customHeight="1" x14ac:dyDescent="0.25">
      <c r="B856"/>
      <c r="C856"/>
      <c r="D856"/>
      <c r="E856"/>
      <c r="F856"/>
      <c r="G856"/>
      <c r="H856" s="94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</row>
    <row r="857" spans="2:39" s="144" customFormat="1" ht="15.75" customHeight="1" x14ac:dyDescent="0.25">
      <c r="B857"/>
      <c r="C857"/>
      <c r="D857"/>
      <c r="E857"/>
      <c r="F857"/>
      <c r="G857"/>
      <c r="H857" s="94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</row>
    <row r="858" spans="2:39" s="144" customFormat="1" ht="15.75" customHeight="1" x14ac:dyDescent="0.25">
      <c r="B858"/>
      <c r="C858"/>
      <c r="D858"/>
      <c r="E858"/>
      <c r="F858"/>
      <c r="G858"/>
      <c r="H858" s="94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</row>
    <row r="859" spans="2:39" s="144" customFormat="1" ht="15.75" customHeight="1" x14ac:dyDescent="0.25">
      <c r="B859"/>
      <c r="C859"/>
      <c r="D859"/>
      <c r="E859"/>
      <c r="F859"/>
      <c r="G859"/>
      <c r="H859" s="94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</row>
    <row r="860" spans="2:39" s="144" customFormat="1" ht="15.75" customHeight="1" x14ac:dyDescent="0.25">
      <c r="B860"/>
      <c r="C860"/>
      <c r="D860"/>
      <c r="E860"/>
      <c r="F860"/>
      <c r="G860"/>
      <c r="H860" s="94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</row>
    <row r="861" spans="2:39" s="144" customFormat="1" ht="15.75" customHeight="1" x14ac:dyDescent="0.25">
      <c r="B861"/>
      <c r="C861"/>
      <c r="D861"/>
      <c r="E861"/>
      <c r="F861"/>
      <c r="G861"/>
      <c r="H861" s="94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</row>
    <row r="862" spans="2:39" s="144" customFormat="1" ht="15.75" customHeight="1" x14ac:dyDescent="0.25">
      <c r="B862"/>
      <c r="C862"/>
      <c r="D862"/>
      <c r="E862"/>
      <c r="F862"/>
      <c r="G862"/>
      <c r="H862" s="94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</row>
    <row r="863" spans="2:39" s="144" customFormat="1" ht="15.75" customHeight="1" x14ac:dyDescent="0.25">
      <c r="B863"/>
      <c r="C863"/>
      <c r="D863"/>
      <c r="E863"/>
      <c r="F863"/>
      <c r="G863"/>
      <c r="H863" s="94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</row>
    <row r="864" spans="2:39" s="144" customFormat="1" ht="15.75" customHeight="1" x14ac:dyDescent="0.25">
      <c r="B864"/>
      <c r="C864"/>
      <c r="D864"/>
      <c r="E864"/>
      <c r="F864"/>
      <c r="G864"/>
      <c r="H864" s="9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</row>
    <row r="865" spans="2:39" s="144" customFormat="1" ht="15.75" customHeight="1" x14ac:dyDescent="0.25">
      <c r="B865"/>
      <c r="C865"/>
      <c r="D865"/>
      <c r="E865"/>
      <c r="F865"/>
      <c r="G865"/>
      <c r="H865" s="94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</row>
    <row r="866" spans="2:39" s="144" customFormat="1" ht="15.75" customHeight="1" x14ac:dyDescent="0.25">
      <c r="B866"/>
      <c r="C866"/>
      <c r="D866"/>
      <c r="E866"/>
      <c r="F866"/>
      <c r="G866"/>
      <c r="H866" s="94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</row>
    <row r="867" spans="2:39" s="144" customFormat="1" ht="15.75" customHeight="1" x14ac:dyDescent="0.25">
      <c r="B867"/>
      <c r="C867"/>
      <c r="D867"/>
      <c r="E867"/>
      <c r="F867"/>
      <c r="G867"/>
      <c r="H867" s="94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</row>
    <row r="868" spans="2:39" s="144" customFormat="1" ht="15.75" customHeight="1" x14ac:dyDescent="0.25">
      <c r="B868"/>
      <c r="C868"/>
      <c r="D868"/>
      <c r="E868"/>
      <c r="F868"/>
      <c r="G868"/>
      <c r="H868" s="94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</row>
    <row r="869" spans="2:39" s="144" customFormat="1" ht="15.75" customHeight="1" x14ac:dyDescent="0.25">
      <c r="B869"/>
      <c r="C869"/>
      <c r="D869"/>
      <c r="E869"/>
      <c r="F869"/>
      <c r="G869"/>
      <c r="H869" s="94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</row>
    <row r="870" spans="2:39" s="144" customFormat="1" ht="15.75" customHeight="1" x14ac:dyDescent="0.25">
      <c r="B870"/>
      <c r="C870"/>
      <c r="D870"/>
      <c r="E870"/>
      <c r="F870"/>
      <c r="G870"/>
      <c r="H870" s="94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</row>
    <row r="871" spans="2:39" s="144" customFormat="1" ht="15.75" customHeight="1" x14ac:dyDescent="0.25">
      <c r="B871"/>
      <c r="C871"/>
      <c r="D871"/>
      <c r="E871"/>
      <c r="F871"/>
      <c r="G871"/>
      <c r="H871" s="94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</row>
    <row r="872" spans="2:39" s="144" customFormat="1" ht="15.75" customHeight="1" x14ac:dyDescent="0.25">
      <c r="B872"/>
      <c r="C872"/>
      <c r="D872"/>
      <c r="E872"/>
      <c r="F872"/>
      <c r="G872"/>
      <c r="H872" s="94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</row>
    <row r="873" spans="2:39" s="144" customFormat="1" ht="15.75" customHeight="1" x14ac:dyDescent="0.25">
      <c r="B873"/>
      <c r="C873"/>
      <c r="D873"/>
      <c r="E873"/>
      <c r="F873"/>
      <c r="G873"/>
      <c r="H873" s="94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</row>
    <row r="874" spans="2:39" s="144" customFormat="1" ht="15.75" customHeight="1" x14ac:dyDescent="0.25">
      <c r="B874"/>
      <c r="C874"/>
      <c r="D874"/>
      <c r="E874"/>
      <c r="F874"/>
      <c r="G874"/>
      <c r="H874" s="9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</row>
    <row r="875" spans="2:39" s="144" customFormat="1" ht="15.75" customHeight="1" x14ac:dyDescent="0.25">
      <c r="B875"/>
      <c r="C875"/>
      <c r="D875"/>
      <c r="E875"/>
      <c r="F875"/>
      <c r="G875"/>
      <c r="H875" s="94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</row>
    <row r="876" spans="2:39" s="144" customFormat="1" ht="15.75" customHeight="1" x14ac:dyDescent="0.25">
      <c r="B876"/>
      <c r="C876"/>
      <c r="D876"/>
      <c r="E876"/>
      <c r="F876"/>
      <c r="G876"/>
      <c r="H876" s="94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</row>
    <row r="877" spans="2:39" s="144" customFormat="1" ht="15.75" customHeight="1" x14ac:dyDescent="0.25">
      <c r="B877"/>
      <c r="C877"/>
      <c r="D877"/>
      <c r="E877"/>
      <c r="F877"/>
      <c r="G877"/>
      <c r="H877" s="94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</row>
    <row r="878" spans="2:39" s="144" customFormat="1" ht="15.75" customHeight="1" x14ac:dyDescent="0.25">
      <c r="B878"/>
      <c r="C878"/>
      <c r="D878"/>
      <c r="E878"/>
      <c r="F878"/>
      <c r="G878"/>
      <c r="H878" s="94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</row>
    <row r="879" spans="2:39" s="144" customFormat="1" ht="15.75" customHeight="1" x14ac:dyDescent="0.25">
      <c r="B879"/>
      <c r="C879"/>
      <c r="D879"/>
      <c r="E879"/>
      <c r="F879"/>
      <c r="G879"/>
      <c r="H879" s="94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</row>
    <row r="880" spans="2:39" s="144" customFormat="1" ht="15.75" customHeight="1" x14ac:dyDescent="0.25">
      <c r="B880"/>
      <c r="C880"/>
      <c r="D880"/>
      <c r="E880"/>
      <c r="F880"/>
      <c r="G880"/>
      <c r="H880" s="94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</row>
    <row r="881" spans="2:39" s="144" customFormat="1" ht="15.75" customHeight="1" x14ac:dyDescent="0.25">
      <c r="B881"/>
      <c r="C881"/>
      <c r="D881"/>
      <c r="E881"/>
      <c r="F881"/>
      <c r="G881"/>
      <c r="H881" s="94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</row>
    <row r="882" spans="2:39" s="144" customFormat="1" ht="15.75" customHeight="1" x14ac:dyDescent="0.25">
      <c r="B882"/>
      <c r="C882"/>
      <c r="D882"/>
      <c r="E882"/>
      <c r="F882"/>
      <c r="G882"/>
      <c r="H882" s="94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</row>
    <row r="883" spans="2:39" s="144" customFormat="1" ht="15.75" customHeight="1" x14ac:dyDescent="0.25">
      <c r="B883"/>
      <c r="C883"/>
      <c r="D883"/>
      <c r="E883"/>
      <c r="F883"/>
      <c r="G883"/>
      <c r="H883" s="94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</row>
    <row r="884" spans="2:39" s="144" customFormat="1" ht="15.75" customHeight="1" x14ac:dyDescent="0.25">
      <c r="B884"/>
      <c r="C884"/>
      <c r="D884"/>
      <c r="E884"/>
      <c r="F884"/>
      <c r="G884"/>
      <c r="H884" s="9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</row>
    <row r="885" spans="2:39" s="144" customFormat="1" ht="15.75" customHeight="1" x14ac:dyDescent="0.25">
      <c r="B885"/>
      <c r="C885"/>
      <c r="D885"/>
      <c r="E885"/>
      <c r="F885"/>
      <c r="G885"/>
      <c r="H885" s="94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</row>
    <row r="886" spans="2:39" s="144" customFormat="1" ht="15.75" customHeight="1" x14ac:dyDescent="0.25">
      <c r="B886"/>
      <c r="C886"/>
      <c r="D886"/>
      <c r="E886"/>
      <c r="F886"/>
      <c r="G886"/>
      <c r="H886" s="94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</row>
    <row r="887" spans="2:39" s="144" customFormat="1" ht="15.75" customHeight="1" x14ac:dyDescent="0.25">
      <c r="B887"/>
      <c r="C887"/>
      <c r="D887"/>
      <c r="E887"/>
      <c r="F887"/>
      <c r="G887"/>
      <c r="H887" s="94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</row>
    <row r="888" spans="2:39" s="144" customFormat="1" ht="15.75" customHeight="1" x14ac:dyDescent="0.25">
      <c r="B888"/>
      <c r="C888"/>
      <c r="D888"/>
      <c r="E888"/>
      <c r="F888"/>
      <c r="G888"/>
      <c r="H888" s="94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</row>
    <row r="889" spans="2:39" s="144" customFormat="1" ht="15.75" customHeight="1" x14ac:dyDescent="0.25">
      <c r="B889"/>
      <c r="C889"/>
      <c r="D889"/>
      <c r="E889"/>
      <c r="F889"/>
      <c r="G889"/>
      <c r="H889" s="94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</row>
    <row r="890" spans="2:39" s="144" customFormat="1" ht="15.75" customHeight="1" x14ac:dyDescent="0.25">
      <c r="B890"/>
      <c r="C890"/>
      <c r="D890"/>
      <c r="E890"/>
      <c r="F890"/>
      <c r="G890"/>
      <c r="H890" s="94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</row>
    <row r="891" spans="2:39" s="144" customFormat="1" ht="15.75" customHeight="1" x14ac:dyDescent="0.25">
      <c r="B891"/>
      <c r="C891"/>
      <c r="D891"/>
      <c r="E891"/>
      <c r="F891"/>
      <c r="G891"/>
      <c r="H891" s="94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</row>
    <row r="892" spans="2:39" s="144" customFormat="1" ht="15.75" customHeight="1" x14ac:dyDescent="0.25">
      <c r="B892"/>
      <c r="C892"/>
      <c r="D892"/>
      <c r="E892"/>
      <c r="F892"/>
      <c r="G892"/>
      <c r="H892" s="94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</row>
    <row r="893" spans="2:39" s="144" customFormat="1" ht="15.75" customHeight="1" x14ac:dyDescent="0.25">
      <c r="B893"/>
      <c r="C893"/>
      <c r="D893"/>
      <c r="E893"/>
      <c r="F893"/>
      <c r="G893"/>
      <c r="H893" s="94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</row>
    <row r="894" spans="2:39" s="144" customFormat="1" ht="15.75" customHeight="1" x14ac:dyDescent="0.25">
      <c r="B894"/>
      <c r="C894"/>
      <c r="D894"/>
      <c r="E894"/>
      <c r="F894"/>
      <c r="G894"/>
      <c r="H894" s="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</row>
    <row r="895" spans="2:39" s="144" customFormat="1" ht="15.75" customHeight="1" x14ac:dyDescent="0.25">
      <c r="B895"/>
      <c r="C895"/>
      <c r="D895"/>
      <c r="E895"/>
      <c r="F895"/>
      <c r="G895"/>
      <c r="H895" s="94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</row>
    <row r="896" spans="2:39" s="144" customFormat="1" ht="15.75" customHeight="1" x14ac:dyDescent="0.25">
      <c r="B896"/>
      <c r="C896"/>
      <c r="D896"/>
      <c r="E896"/>
      <c r="F896"/>
      <c r="G896"/>
      <c r="H896" s="94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</row>
    <row r="897" spans="2:39" s="144" customFormat="1" ht="15.75" customHeight="1" x14ac:dyDescent="0.25">
      <c r="B897"/>
      <c r="C897"/>
      <c r="D897"/>
      <c r="E897"/>
      <c r="F897"/>
      <c r="G897"/>
      <c r="H897" s="94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</row>
    <row r="898" spans="2:39" s="144" customFormat="1" ht="15.75" customHeight="1" x14ac:dyDescent="0.25">
      <c r="B898"/>
      <c r="C898"/>
      <c r="D898"/>
      <c r="E898"/>
      <c r="F898"/>
      <c r="G898"/>
      <c r="H898" s="94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</row>
    <row r="899" spans="2:39" s="144" customFormat="1" ht="15.75" customHeight="1" x14ac:dyDescent="0.25">
      <c r="B899"/>
      <c r="C899"/>
      <c r="D899"/>
      <c r="E899"/>
      <c r="F899"/>
      <c r="G899"/>
      <c r="H899" s="94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</row>
    <row r="900" spans="2:39" s="144" customFormat="1" ht="15.75" customHeight="1" x14ac:dyDescent="0.25">
      <c r="B900"/>
      <c r="C900"/>
      <c r="D900"/>
      <c r="E900"/>
      <c r="F900"/>
      <c r="G900"/>
      <c r="H900" s="94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</row>
    <row r="901" spans="2:39" s="144" customFormat="1" ht="15.75" customHeight="1" x14ac:dyDescent="0.25">
      <c r="B901"/>
      <c r="C901"/>
      <c r="D901"/>
      <c r="E901"/>
      <c r="F901"/>
      <c r="G901"/>
      <c r="H901" s="94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</row>
    <row r="902" spans="2:39" s="144" customFormat="1" ht="15.75" customHeight="1" x14ac:dyDescent="0.25">
      <c r="B902"/>
      <c r="C902"/>
      <c r="D902"/>
      <c r="E902"/>
      <c r="F902"/>
      <c r="G902"/>
      <c r="H902" s="94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</row>
    <row r="903" spans="2:39" s="144" customFormat="1" ht="15.75" customHeight="1" x14ac:dyDescent="0.25">
      <c r="B903"/>
      <c r="C903"/>
      <c r="D903"/>
      <c r="E903"/>
      <c r="F903"/>
      <c r="G903"/>
      <c r="H903" s="94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</row>
    <row r="904" spans="2:39" s="144" customFormat="1" ht="15.75" customHeight="1" x14ac:dyDescent="0.25">
      <c r="B904"/>
      <c r="C904"/>
      <c r="D904"/>
      <c r="E904"/>
      <c r="F904"/>
      <c r="G904"/>
      <c r="H904" s="9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</row>
    <row r="905" spans="2:39" s="144" customFormat="1" ht="15.75" customHeight="1" x14ac:dyDescent="0.25">
      <c r="B905"/>
      <c r="C905"/>
      <c r="D905"/>
      <c r="E905"/>
      <c r="F905"/>
      <c r="G905"/>
      <c r="H905" s="94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</row>
    <row r="906" spans="2:39" s="144" customFormat="1" ht="15.75" customHeight="1" x14ac:dyDescent="0.25">
      <c r="B906"/>
      <c r="C906"/>
      <c r="D906"/>
      <c r="E906"/>
      <c r="F906"/>
      <c r="G906"/>
      <c r="H906" s="94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</row>
    <row r="907" spans="2:39" s="144" customFormat="1" ht="15.75" customHeight="1" x14ac:dyDescent="0.25">
      <c r="B907"/>
      <c r="C907"/>
      <c r="D907"/>
      <c r="E907"/>
      <c r="F907"/>
      <c r="G907"/>
      <c r="H907" s="94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</row>
    <row r="908" spans="2:39" s="144" customFormat="1" ht="15.75" customHeight="1" x14ac:dyDescent="0.25">
      <c r="B908"/>
      <c r="C908"/>
      <c r="D908"/>
      <c r="E908"/>
      <c r="F908"/>
      <c r="G908"/>
      <c r="H908" s="94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</row>
    <row r="909" spans="2:39" s="144" customFormat="1" ht="15.75" customHeight="1" x14ac:dyDescent="0.25">
      <c r="B909"/>
      <c r="C909"/>
      <c r="D909"/>
      <c r="E909"/>
      <c r="F909"/>
      <c r="G909"/>
      <c r="H909" s="94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</row>
    <row r="910" spans="2:39" s="144" customFormat="1" ht="15.75" customHeight="1" x14ac:dyDescent="0.25">
      <c r="B910"/>
      <c r="C910"/>
      <c r="D910"/>
      <c r="E910"/>
      <c r="F910"/>
      <c r="G910"/>
      <c r="H910" s="94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</row>
    <row r="911" spans="2:39" s="144" customFormat="1" ht="15.75" customHeight="1" x14ac:dyDescent="0.25">
      <c r="B911"/>
      <c r="C911"/>
      <c r="D911"/>
      <c r="E911"/>
      <c r="F911"/>
      <c r="G911"/>
      <c r="H911" s="94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</row>
    <row r="912" spans="2:39" s="144" customFormat="1" ht="15.75" customHeight="1" x14ac:dyDescent="0.25">
      <c r="B912"/>
      <c r="C912"/>
      <c r="D912"/>
      <c r="E912"/>
      <c r="F912"/>
      <c r="G912"/>
      <c r="H912" s="94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</row>
    <row r="913" spans="2:39" s="144" customFormat="1" ht="15.75" customHeight="1" x14ac:dyDescent="0.25">
      <c r="B913"/>
      <c r="C913"/>
      <c r="D913"/>
      <c r="E913"/>
      <c r="F913"/>
      <c r="G913"/>
      <c r="H913" s="94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</row>
    <row r="914" spans="2:39" s="144" customFormat="1" ht="15.75" customHeight="1" x14ac:dyDescent="0.25">
      <c r="B914"/>
      <c r="C914"/>
      <c r="D914"/>
      <c r="E914"/>
      <c r="F914"/>
      <c r="G914"/>
      <c r="H914" s="9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</row>
    <row r="915" spans="2:39" s="144" customFormat="1" ht="15.75" customHeight="1" x14ac:dyDescent="0.25">
      <c r="B915"/>
      <c r="C915"/>
      <c r="D915"/>
      <c r="E915"/>
      <c r="F915"/>
      <c r="G915"/>
      <c r="H915" s="94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</row>
    <row r="916" spans="2:39" s="144" customFormat="1" ht="15.75" customHeight="1" x14ac:dyDescent="0.25">
      <c r="B916"/>
      <c r="C916"/>
      <c r="D916"/>
      <c r="E916"/>
      <c r="F916"/>
      <c r="G916"/>
      <c r="H916" s="94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</row>
    <row r="917" spans="2:39" s="144" customFormat="1" ht="15.75" customHeight="1" x14ac:dyDescent="0.25">
      <c r="B917"/>
      <c r="C917"/>
      <c r="D917"/>
      <c r="E917"/>
      <c r="F917"/>
      <c r="G917"/>
      <c r="H917" s="94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</row>
    <row r="918" spans="2:39" s="144" customFormat="1" ht="15.75" customHeight="1" x14ac:dyDescent="0.25">
      <c r="B918"/>
      <c r="C918"/>
      <c r="D918"/>
      <c r="E918"/>
      <c r="F918"/>
      <c r="G918"/>
      <c r="H918" s="94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</row>
    <row r="919" spans="2:39" s="144" customFormat="1" ht="15.75" customHeight="1" x14ac:dyDescent="0.25">
      <c r="B919"/>
      <c r="C919"/>
      <c r="D919"/>
      <c r="E919"/>
      <c r="F919"/>
      <c r="G919"/>
      <c r="H919" s="94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</row>
    <row r="920" spans="2:39" s="144" customFormat="1" ht="15.75" customHeight="1" x14ac:dyDescent="0.25">
      <c r="B920"/>
      <c r="C920"/>
      <c r="D920"/>
      <c r="E920"/>
      <c r="F920"/>
      <c r="G920"/>
      <c r="H920" s="94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</row>
    <row r="921" spans="2:39" s="144" customFormat="1" ht="15.75" customHeight="1" x14ac:dyDescent="0.25">
      <c r="B921"/>
      <c r="C921"/>
      <c r="D921"/>
      <c r="E921"/>
      <c r="F921"/>
      <c r="G921"/>
      <c r="H921" s="94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</row>
    <row r="922" spans="2:39" s="144" customFormat="1" ht="15.75" customHeight="1" x14ac:dyDescent="0.25">
      <c r="B922"/>
      <c r="C922"/>
      <c r="D922"/>
      <c r="E922"/>
      <c r="F922"/>
      <c r="G922"/>
      <c r="H922" s="94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</row>
    <row r="923" spans="2:39" s="144" customFormat="1" ht="15.75" customHeight="1" x14ac:dyDescent="0.25">
      <c r="B923"/>
      <c r="C923"/>
      <c r="D923"/>
      <c r="E923"/>
      <c r="F923"/>
      <c r="G923"/>
      <c r="H923" s="94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</row>
    <row r="924" spans="2:39" s="144" customFormat="1" ht="15.75" customHeight="1" x14ac:dyDescent="0.25">
      <c r="B924"/>
      <c r="C924"/>
      <c r="D924"/>
      <c r="E924"/>
      <c r="F924"/>
      <c r="G924"/>
      <c r="H924" s="9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</row>
    <row r="925" spans="2:39" s="144" customFormat="1" ht="15.75" customHeight="1" x14ac:dyDescent="0.25">
      <c r="B925"/>
      <c r="C925"/>
      <c r="D925"/>
      <c r="E925"/>
      <c r="F925"/>
      <c r="G925"/>
      <c r="H925" s="94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</row>
    <row r="926" spans="2:39" s="144" customFormat="1" ht="15.75" customHeight="1" x14ac:dyDescent="0.25">
      <c r="B926"/>
      <c r="C926"/>
      <c r="D926"/>
      <c r="E926"/>
      <c r="F926"/>
      <c r="G926"/>
      <c r="H926" s="94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</row>
    <row r="927" spans="2:39" s="144" customFormat="1" ht="15.75" customHeight="1" x14ac:dyDescent="0.25">
      <c r="B927"/>
      <c r="C927"/>
      <c r="D927"/>
      <c r="E927"/>
      <c r="F927"/>
      <c r="G927"/>
      <c r="H927" s="94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</row>
    <row r="928" spans="2:39" s="144" customFormat="1" ht="15.75" customHeight="1" x14ac:dyDescent="0.25">
      <c r="B928"/>
      <c r="C928"/>
      <c r="D928"/>
      <c r="E928"/>
      <c r="F928"/>
      <c r="G928"/>
      <c r="H928" s="94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</row>
    <row r="929" spans="2:39" s="144" customFormat="1" ht="15.75" customHeight="1" x14ac:dyDescent="0.25">
      <c r="B929"/>
      <c r="C929"/>
      <c r="D929"/>
      <c r="E929"/>
      <c r="F929"/>
      <c r="G929"/>
      <c r="H929" s="94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</row>
    <row r="930" spans="2:39" s="144" customFormat="1" ht="15.75" customHeight="1" x14ac:dyDescent="0.25">
      <c r="B930"/>
      <c r="C930"/>
      <c r="D930"/>
      <c r="E930"/>
      <c r="F930"/>
      <c r="G930"/>
      <c r="H930" s="94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</row>
    <row r="931" spans="2:39" s="144" customFormat="1" ht="15.75" customHeight="1" x14ac:dyDescent="0.25">
      <c r="B931"/>
      <c r="C931"/>
      <c r="D931"/>
      <c r="E931"/>
      <c r="F931"/>
      <c r="G931"/>
      <c r="H931" s="94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</row>
    <row r="932" spans="2:39" s="144" customFormat="1" ht="15.75" customHeight="1" x14ac:dyDescent="0.25">
      <c r="B932"/>
      <c r="C932"/>
      <c r="D932"/>
      <c r="E932"/>
      <c r="F932"/>
      <c r="G932"/>
      <c r="H932" s="94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</row>
    <row r="933" spans="2:39" s="144" customFormat="1" ht="15.75" customHeight="1" x14ac:dyDescent="0.25">
      <c r="B933"/>
      <c r="C933"/>
      <c r="D933"/>
      <c r="E933"/>
      <c r="F933"/>
      <c r="G933"/>
      <c r="H933" s="94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</row>
    <row r="934" spans="2:39" s="144" customFormat="1" ht="15.75" customHeight="1" x14ac:dyDescent="0.25">
      <c r="B934"/>
      <c r="C934"/>
      <c r="D934"/>
      <c r="E934"/>
      <c r="F934"/>
      <c r="G934"/>
      <c r="H934" s="9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</row>
    <row r="935" spans="2:39" s="144" customFormat="1" ht="15.75" customHeight="1" x14ac:dyDescent="0.25">
      <c r="B935"/>
      <c r="C935"/>
      <c r="D935"/>
      <c r="E935"/>
      <c r="F935"/>
      <c r="G935"/>
      <c r="H935" s="94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</row>
    <row r="936" spans="2:39" s="144" customFormat="1" ht="15.75" customHeight="1" x14ac:dyDescent="0.25">
      <c r="B936"/>
      <c r="C936"/>
      <c r="D936"/>
      <c r="E936"/>
      <c r="F936"/>
      <c r="G936"/>
      <c r="H936" s="94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</row>
    <row r="937" spans="2:39" s="144" customFormat="1" ht="15.75" customHeight="1" x14ac:dyDescent="0.25">
      <c r="B937"/>
      <c r="C937"/>
      <c r="D937"/>
      <c r="E937"/>
      <c r="F937"/>
      <c r="G937"/>
      <c r="H937" s="94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</row>
    <row r="938" spans="2:39" s="144" customFormat="1" ht="15.75" customHeight="1" x14ac:dyDescent="0.25">
      <c r="B938"/>
      <c r="C938"/>
      <c r="D938"/>
      <c r="E938"/>
      <c r="F938"/>
      <c r="G938"/>
      <c r="H938" s="94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</row>
    <row r="939" spans="2:39" s="144" customFormat="1" ht="15.75" customHeight="1" x14ac:dyDescent="0.25">
      <c r="B939"/>
      <c r="C939"/>
      <c r="D939"/>
      <c r="E939"/>
      <c r="F939"/>
      <c r="G939"/>
      <c r="H939" s="94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</row>
    <row r="940" spans="2:39" s="144" customFormat="1" ht="15.75" customHeight="1" x14ac:dyDescent="0.25">
      <c r="B940"/>
      <c r="C940"/>
      <c r="D940"/>
      <c r="E940"/>
      <c r="F940"/>
      <c r="G940"/>
      <c r="H940" s="94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</row>
    <row r="941" spans="2:39" s="144" customFormat="1" ht="15.75" customHeight="1" x14ac:dyDescent="0.25">
      <c r="B941"/>
      <c r="C941"/>
      <c r="D941"/>
      <c r="E941"/>
      <c r="F941"/>
      <c r="G941"/>
      <c r="H941" s="94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</row>
    <row r="942" spans="2:39" s="144" customFormat="1" ht="15.75" customHeight="1" x14ac:dyDescent="0.25">
      <c r="B942"/>
      <c r="C942"/>
      <c r="D942"/>
      <c r="E942"/>
      <c r="F942"/>
      <c r="G942"/>
      <c r="H942" s="94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</row>
    <row r="943" spans="2:39" s="144" customFormat="1" ht="15.75" customHeight="1" x14ac:dyDescent="0.25">
      <c r="B943"/>
      <c r="C943"/>
      <c r="D943"/>
      <c r="E943"/>
      <c r="F943"/>
      <c r="G943"/>
      <c r="H943" s="94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</row>
    <row r="944" spans="2:39" s="144" customFormat="1" ht="15.75" customHeight="1" x14ac:dyDescent="0.25">
      <c r="B944"/>
      <c r="C944"/>
      <c r="D944"/>
      <c r="E944"/>
      <c r="F944"/>
      <c r="G944"/>
      <c r="H944" s="9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</row>
    <row r="945" spans="2:39" s="144" customFormat="1" ht="15.75" customHeight="1" x14ac:dyDescent="0.25">
      <c r="B945"/>
      <c r="C945"/>
      <c r="D945"/>
      <c r="E945"/>
      <c r="F945"/>
      <c r="G945"/>
      <c r="H945" s="94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</row>
    <row r="946" spans="2:39" s="144" customFormat="1" ht="15.75" customHeight="1" x14ac:dyDescent="0.25">
      <c r="B946"/>
      <c r="C946"/>
      <c r="D946"/>
      <c r="E946"/>
      <c r="F946"/>
      <c r="G946"/>
      <c r="H946" s="94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</row>
    <row r="947" spans="2:39" s="144" customFormat="1" ht="15.75" customHeight="1" x14ac:dyDescent="0.25">
      <c r="B947"/>
      <c r="C947"/>
      <c r="D947"/>
      <c r="E947"/>
      <c r="F947"/>
      <c r="G947"/>
      <c r="H947" s="94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</row>
    <row r="948" spans="2:39" s="144" customFormat="1" ht="15.75" customHeight="1" x14ac:dyDescent="0.25">
      <c r="B948"/>
      <c r="C948"/>
      <c r="D948"/>
      <c r="E948"/>
      <c r="F948"/>
      <c r="G948"/>
      <c r="H948" s="94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</row>
    <row r="949" spans="2:39" s="144" customFormat="1" ht="15.75" customHeight="1" x14ac:dyDescent="0.25">
      <c r="B949"/>
      <c r="C949"/>
      <c r="D949"/>
      <c r="E949"/>
      <c r="F949"/>
      <c r="G949"/>
      <c r="H949" s="94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</row>
    <row r="950" spans="2:39" s="144" customFormat="1" ht="15.75" customHeight="1" x14ac:dyDescent="0.25">
      <c r="B950"/>
      <c r="C950"/>
      <c r="D950"/>
      <c r="E950"/>
      <c r="F950"/>
      <c r="G950"/>
      <c r="H950" s="94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</row>
    <row r="951" spans="2:39" s="144" customFormat="1" ht="15.75" customHeight="1" x14ac:dyDescent="0.25">
      <c r="B951"/>
      <c r="C951"/>
      <c r="D951"/>
      <c r="E951"/>
      <c r="F951"/>
      <c r="G951"/>
      <c r="H951" s="94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</row>
    <row r="952" spans="2:39" s="144" customFormat="1" ht="15.75" customHeight="1" x14ac:dyDescent="0.25">
      <c r="B952"/>
      <c r="C952"/>
      <c r="D952"/>
      <c r="E952"/>
      <c r="F952"/>
      <c r="G952"/>
      <c r="H952" s="94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</row>
    <row r="953" spans="2:39" s="144" customFormat="1" ht="15.75" customHeight="1" x14ac:dyDescent="0.25">
      <c r="B953"/>
      <c r="C953"/>
      <c r="D953"/>
      <c r="E953"/>
      <c r="F953"/>
      <c r="G953"/>
      <c r="H953" s="94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</row>
    <row r="954" spans="2:39" s="144" customFormat="1" ht="15.75" customHeight="1" x14ac:dyDescent="0.25">
      <c r="B954"/>
      <c r="C954"/>
      <c r="D954"/>
      <c r="E954"/>
      <c r="F954"/>
      <c r="G954"/>
      <c r="H954" s="9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</row>
    <row r="955" spans="2:39" s="144" customFormat="1" ht="15.75" customHeight="1" x14ac:dyDescent="0.25">
      <c r="B955"/>
      <c r="C955"/>
      <c r="D955"/>
      <c r="E955"/>
      <c r="F955"/>
      <c r="G955"/>
      <c r="H955" s="94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</row>
    <row r="956" spans="2:39" s="144" customFormat="1" ht="15.75" customHeight="1" x14ac:dyDescent="0.25">
      <c r="B956"/>
      <c r="C956"/>
      <c r="D956"/>
      <c r="E956"/>
      <c r="F956"/>
      <c r="G956"/>
      <c r="H956" s="94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</row>
    <row r="957" spans="2:39" s="144" customFormat="1" ht="15.75" customHeight="1" x14ac:dyDescent="0.25">
      <c r="B957"/>
      <c r="C957"/>
      <c r="D957"/>
      <c r="E957"/>
      <c r="F957"/>
      <c r="G957"/>
      <c r="H957" s="94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</row>
    <row r="958" spans="2:39" s="144" customFormat="1" ht="15.75" customHeight="1" x14ac:dyDescent="0.25">
      <c r="B958"/>
      <c r="C958"/>
      <c r="D958"/>
      <c r="E958"/>
      <c r="F958"/>
      <c r="G958"/>
      <c r="H958" s="94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</row>
    <row r="959" spans="2:39" s="144" customFormat="1" ht="15.75" customHeight="1" x14ac:dyDescent="0.25">
      <c r="B959"/>
      <c r="C959"/>
      <c r="D959"/>
      <c r="E959"/>
      <c r="F959"/>
      <c r="G959"/>
      <c r="H959" s="94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</row>
    <row r="960" spans="2:39" s="144" customFormat="1" ht="15.75" customHeight="1" x14ac:dyDescent="0.25">
      <c r="B960"/>
      <c r="C960"/>
      <c r="D960"/>
      <c r="E960"/>
      <c r="F960"/>
      <c r="G960"/>
      <c r="H960" s="94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</row>
    <row r="961" spans="2:39" s="144" customFormat="1" ht="15.75" customHeight="1" x14ac:dyDescent="0.25">
      <c r="B961"/>
      <c r="C961"/>
      <c r="D961"/>
      <c r="E961"/>
      <c r="F961"/>
      <c r="G961"/>
      <c r="H961" s="94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</row>
    <row r="962" spans="2:39" s="144" customFormat="1" ht="15.75" customHeight="1" x14ac:dyDescent="0.25">
      <c r="B962"/>
      <c r="C962"/>
      <c r="D962"/>
      <c r="E962"/>
      <c r="F962"/>
      <c r="G962"/>
      <c r="H962" s="94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</row>
    <row r="963" spans="2:39" s="144" customFormat="1" ht="15.75" customHeight="1" x14ac:dyDescent="0.25">
      <c r="B963"/>
      <c r="C963"/>
      <c r="D963"/>
      <c r="E963"/>
      <c r="F963"/>
      <c r="G963"/>
      <c r="H963" s="94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</row>
    <row r="964" spans="2:39" s="144" customFormat="1" ht="15.75" customHeight="1" x14ac:dyDescent="0.25">
      <c r="B964"/>
      <c r="C964"/>
      <c r="D964"/>
      <c r="E964"/>
      <c r="F964"/>
      <c r="G964"/>
      <c r="H964" s="9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</row>
    <row r="965" spans="2:39" s="144" customFormat="1" ht="15.75" customHeight="1" x14ac:dyDescent="0.25">
      <c r="B965"/>
      <c r="C965"/>
      <c r="D965"/>
      <c r="E965"/>
      <c r="F965"/>
      <c r="G965"/>
      <c r="H965" s="94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</row>
    <row r="966" spans="2:39" s="144" customFormat="1" ht="15.75" customHeight="1" x14ac:dyDescent="0.25">
      <c r="B966"/>
      <c r="C966"/>
      <c r="D966"/>
      <c r="E966"/>
      <c r="F966"/>
      <c r="G966"/>
      <c r="H966" s="94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</row>
    <row r="967" spans="2:39" s="144" customFormat="1" ht="15.75" customHeight="1" x14ac:dyDescent="0.25">
      <c r="B967"/>
      <c r="C967"/>
      <c r="D967"/>
      <c r="E967"/>
      <c r="F967"/>
      <c r="G967"/>
      <c r="H967" s="94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</row>
    <row r="968" spans="2:39" s="144" customFormat="1" ht="15.75" customHeight="1" x14ac:dyDescent="0.25">
      <c r="B968"/>
      <c r="C968"/>
      <c r="D968"/>
      <c r="E968"/>
      <c r="F968"/>
      <c r="G968"/>
      <c r="H968" s="94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</row>
    <row r="969" spans="2:39" s="144" customFormat="1" ht="15.75" customHeight="1" x14ac:dyDescent="0.25">
      <c r="B969"/>
      <c r="C969"/>
      <c r="D969"/>
      <c r="E969"/>
      <c r="F969"/>
      <c r="G969"/>
      <c r="H969" s="94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</row>
    <row r="970" spans="2:39" s="144" customFormat="1" ht="15.75" customHeight="1" x14ac:dyDescent="0.25">
      <c r="B970"/>
      <c r="C970"/>
      <c r="D970"/>
      <c r="E970"/>
      <c r="F970"/>
      <c r="G970"/>
      <c r="H970" s="94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</row>
    <row r="971" spans="2:39" s="144" customFormat="1" ht="15.75" customHeight="1" x14ac:dyDescent="0.25">
      <c r="B971"/>
      <c r="C971"/>
      <c r="D971"/>
      <c r="E971"/>
      <c r="F971"/>
      <c r="G971"/>
      <c r="H971" s="94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</row>
    <row r="972" spans="2:39" s="144" customFormat="1" ht="15.75" customHeight="1" x14ac:dyDescent="0.25">
      <c r="B972"/>
      <c r="C972"/>
      <c r="D972"/>
      <c r="E972"/>
      <c r="F972"/>
      <c r="G972"/>
      <c r="H972" s="94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</row>
    <row r="973" spans="2:39" s="144" customFormat="1" ht="15.75" customHeight="1" x14ac:dyDescent="0.25">
      <c r="B973"/>
      <c r="C973"/>
      <c r="D973"/>
      <c r="E973"/>
      <c r="F973"/>
      <c r="G973"/>
      <c r="H973" s="94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</row>
    <row r="974" spans="2:39" s="144" customFormat="1" ht="15.75" customHeight="1" x14ac:dyDescent="0.25">
      <c r="B974"/>
      <c r="C974"/>
      <c r="D974"/>
      <c r="E974"/>
      <c r="F974"/>
      <c r="G974"/>
      <c r="H974" s="9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</row>
    <row r="975" spans="2:39" s="144" customFormat="1" ht="15.75" customHeight="1" x14ac:dyDescent="0.25">
      <c r="B975"/>
      <c r="C975"/>
      <c r="D975"/>
      <c r="E975"/>
      <c r="F975"/>
      <c r="G975"/>
      <c r="H975" s="94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</row>
    <row r="976" spans="2:39" s="144" customFormat="1" ht="15.75" customHeight="1" x14ac:dyDescent="0.25">
      <c r="B976"/>
      <c r="C976"/>
      <c r="D976"/>
      <c r="E976"/>
      <c r="F976"/>
      <c r="G976"/>
      <c r="H976" s="94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</row>
    <row r="977" spans="2:39" s="144" customFormat="1" ht="15.75" customHeight="1" x14ac:dyDescent="0.25">
      <c r="B977"/>
      <c r="C977"/>
      <c r="D977"/>
      <c r="E977"/>
      <c r="F977"/>
      <c r="G977"/>
      <c r="H977" s="94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</row>
    <row r="978" spans="2:39" s="144" customFormat="1" ht="15.75" customHeight="1" x14ac:dyDescent="0.25">
      <c r="B978"/>
      <c r="C978"/>
      <c r="D978"/>
      <c r="E978"/>
      <c r="F978"/>
      <c r="G978"/>
      <c r="H978" s="94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</row>
    <row r="979" spans="2:39" s="144" customFormat="1" ht="15.75" customHeight="1" x14ac:dyDescent="0.25">
      <c r="B979"/>
      <c r="C979"/>
      <c r="D979"/>
      <c r="E979"/>
      <c r="F979"/>
      <c r="G979"/>
      <c r="H979" s="94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</row>
    <row r="980" spans="2:39" s="144" customFormat="1" ht="15.75" customHeight="1" x14ac:dyDescent="0.25">
      <c r="B980"/>
      <c r="C980"/>
      <c r="D980"/>
      <c r="E980"/>
      <c r="F980"/>
      <c r="G980"/>
      <c r="H980" s="94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</row>
    <row r="981" spans="2:39" s="144" customFormat="1" ht="15.75" customHeight="1" x14ac:dyDescent="0.25">
      <c r="B981"/>
      <c r="C981"/>
      <c r="D981"/>
      <c r="E981"/>
      <c r="F981"/>
      <c r="G981"/>
      <c r="H981" s="94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</row>
    <row r="982" spans="2:39" s="144" customFormat="1" ht="15.75" customHeight="1" x14ac:dyDescent="0.25">
      <c r="B982"/>
      <c r="C982"/>
      <c r="D982"/>
      <c r="E982"/>
      <c r="F982"/>
      <c r="G982"/>
      <c r="H982" s="94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</row>
    <row r="983" spans="2:39" s="144" customFormat="1" ht="15.75" customHeight="1" x14ac:dyDescent="0.25">
      <c r="B983"/>
      <c r="C983"/>
      <c r="D983"/>
      <c r="E983"/>
      <c r="F983"/>
      <c r="G983"/>
      <c r="H983" s="94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</row>
    <row r="984" spans="2:39" s="144" customFormat="1" ht="15.75" customHeight="1" x14ac:dyDescent="0.25">
      <c r="B984"/>
      <c r="C984"/>
      <c r="D984"/>
      <c r="E984"/>
      <c r="F984"/>
      <c r="G984"/>
      <c r="H984" s="9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</row>
    <row r="985" spans="2:39" s="144" customFormat="1" ht="15.75" customHeight="1" x14ac:dyDescent="0.25">
      <c r="B985"/>
      <c r="C985"/>
      <c r="D985"/>
      <c r="E985"/>
      <c r="F985"/>
      <c r="G985"/>
      <c r="H985" s="94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</row>
    <row r="986" spans="2:39" s="144" customFormat="1" ht="15.75" customHeight="1" x14ac:dyDescent="0.25">
      <c r="B986"/>
      <c r="C986"/>
      <c r="D986"/>
      <c r="E986"/>
      <c r="F986"/>
      <c r="G986"/>
      <c r="H986" s="94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</row>
    <row r="987" spans="2:39" s="144" customFormat="1" ht="15.75" customHeight="1" x14ac:dyDescent="0.25">
      <c r="B987"/>
      <c r="C987"/>
      <c r="D987"/>
      <c r="E987"/>
      <c r="F987"/>
      <c r="G987"/>
      <c r="H987" s="94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</row>
    <row r="988" spans="2:39" s="144" customFormat="1" ht="15.75" customHeight="1" x14ac:dyDescent="0.25">
      <c r="B988"/>
      <c r="C988"/>
      <c r="D988"/>
      <c r="E988"/>
      <c r="F988"/>
      <c r="G988"/>
      <c r="H988" s="94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</row>
    <row r="989" spans="2:39" s="144" customFormat="1" ht="15.75" customHeight="1" x14ac:dyDescent="0.25">
      <c r="B989"/>
      <c r="C989"/>
      <c r="D989"/>
      <c r="E989"/>
      <c r="F989"/>
      <c r="G989"/>
      <c r="H989" s="94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</row>
    <row r="990" spans="2:39" s="144" customFormat="1" ht="15.75" customHeight="1" x14ac:dyDescent="0.25">
      <c r="B990"/>
      <c r="C990"/>
      <c r="D990"/>
      <c r="E990"/>
      <c r="F990"/>
      <c r="G990"/>
      <c r="H990" s="94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</row>
    <row r="991" spans="2:39" s="144" customFormat="1" ht="15.75" customHeight="1" x14ac:dyDescent="0.25">
      <c r="B991"/>
      <c r="C991"/>
      <c r="D991"/>
      <c r="E991"/>
      <c r="F991"/>
      <c r="G991"/>
      <c r="H991" s="94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</row>
    <row r="992" spans="2:39" s="144" customFormat="1" ht="15.75" customHeight="1" x14ac:dyDescent="0.25">
      <c r="B992"/>
      <c r="C992"/>
      <c r="D992"/>
      <c r="E992"/>
      <c r="F992"/>
      <c r="G992"/>
      <c r="H992" s="94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</row>
    <row r="993" spans="2:39" s="144" customFormat="1" ht="15.75" customHeight="1" x14ac:dyDescent="0.25">
      <c r="B993"/>
      <c r="C993"/>
      <c r="D993"/>
      <c r="E993"/>
      <c r="F993"/>
      <c r="G993"/>
      <c r="H993" s="94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</row>
    <row r="994" spans="2:39" s="144" customFormat="1" ht="15.75" customHeight="1" x14ac:dyDescent="0.25">
      <c r="B994"/>
      <c r="C994"/>
      <c r="D994"/>
      <c r="E994"/>
      <c r="F994"/>
      <c r="G994"/>
      <c r="H994" s="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</row>
    <row r="995" spans="2:39" s="144" customFormat="1" ht="15.75" customHeight="1" x14ac:dyDescent="0.25">
      <c r="B995"/>
      <c r="C995"/>
      <c r="D995"/>
      <c r="E995"/>
      <c r="F995"/>
      <c r="G995"/>
      <c r="H995" s="94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</row>
  </sheetData>
  <mergeCells count="21">
    <mergeCell ref="R28:W28"/>
    <mergeCell ref="H29:J29"/>
    <mergeCell ref="R29:W29"/>
    <mergeCell ref="R21:W21"/>
    <mergeCell ref="H25:J25"/>
    <mergeCell ref="B22:D22"/>
    <mergeCell ref="B23:D23"/>
    <mergeCell ref="R23:W23"/>
    <mergeCell ref="B24:C24"/>
    <mergeCell ref="H24:J24"/>
    <mergeCell ref="B26:D26"/>
    <mergeCell ref="R26:W26"/>
    <mergeCell ref="B27:D27"/>
    <mergeCell ref="H27:J27"/>
    <mergeCell ref="R27:W27"/>
    <mergeCell ref="A8:A9"/>
    <mergeCell ref="B21:D21"/>
    <mergeCell ref="D2:D3"/>
    <mergeCell ref="A2:A3"/>
    <mergeCell ref="F1:I1"/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AQ38"/>
  <sheetViews>
    <sheetView view="pageBreakPreview" topLeftCell="A5" zoomScale="60" zoomScaleNormal="100" workbookViewId="0">
      <selection activeCell="S33" sqref="S33"/>
    </sheetView>
  </sheetViews>
  <sheetFormatPr defaultColWidth="11" defaultRowHeight="15.75" x14ac:dyDescent="0.25"/>
  <cols>
    <col min="5" max="13" width="10.75" style="2"/>
    <col min="15" max="15" width="12.5" customWidth="1"/>
    <col min="24" max="24" width="9" customWidth="1"/>
    <col min="25" max="30" width="10.75" customWidth="1"/>
  </cols>
  <sheetData>
    <row r="6" spans="2:21" ht="16.5" thickBot="1" x14ac:dyDescent="0.3">
      <c r="G6" s="169" t="s">
        <v>30</v>
      </c>
    </row>
    <row r="7" spans="2:21" x14ac:dyDescent="0.25">
      <c r="B7" s="303"/>
      <c r="C7" s="303"/>
      <c r="D7" s="291"/>
      <c r="E7" s="304" t="s">
        <v>167</v>
      </c>
      <c r="F7" s="305"/>
      <c r="G7" s="306" t="s">
        <v>168</v>
      </c>
      <c r="H7" s="305"/>
      <c r="I7" s="307" t="s">
        <v>169</v>
      </c>
      <c r="J7" s="308"/>
      <c r="K7" s="307" t="s">
        <v>170</v>
      </c>
      <c r="L7" s="308"/>
      <c r="M7" s="312" t="s">
        <v>171</v>
      </c>
      <c r="N7" s="313"/>
      <c r="O7" s="304" t="s">
        <v>172</v>
      </c>
      <c r="P7" s="305"/>
    </row>
    <row r="8" spans="2:21" ht="16.5" thickBot="1" x14ac:dyDescent="0.3">
      <c r="B8" s="314"/>
      <c r="C8" s="314"/>
      <c r="D8" s="315"/>
      <c r="E8" s="170" t="s">
        <v>173</v>
      </c>
      <c r="F8" s="56" t="s">
        <v>174</v>
      </c>
      <c r="G8" s="60" t="s">
        <v>173</v>
      </c>
      <c r="H8" s="56" t="s">
        <v>174</v>
      </c>
      <c r="I8" s="171" t="s">
        <v>173</v>
      </c>
      <c r="J8" s="172" t="s">
        <v>174</v>
      </c>
      <c r="K8" s="171" t="s">
        <v>173</v>
      </c>
      <c r="L8" s="172" t="s">
        <v>174</v>
      </c>
      <c r="M8" s="170" t="s">
        <v>173</v>
      </c>
      <c r="N8" s="173" t="s">
        <v>174</v>
      </c>
      <c r="O8" s="170" t="s">
        <v>173</v>
      </c>
      <c r="P8" s="56" t="s">
        <v>174</v>
      </c>
      <c r="Q8" s="12"/>
      <c r="R8" s="12"/>
      <c r="S8" s="12"/>
      <c r="T8" s="12"/>
      <c r="U8" s="12"/>
    </row>
    <row r="9" spans="2:21" x14ac:dyDescent="0.25">
      <c r="B9" s="309" t="s">
        <v>36</v>
      </c>
      <c r="C9" s="310"/>
      <c r="D9" s="311"/>
      <c r="E9" s="174">
        <v>17</v>
      </c>
      <c r="F9" s="175"/>
      <c r="G9" s="176">
        <v>49</v>
      </c>
      <c r="H9" s="175"/>
      <c r="I9" s="177">
        <v>78</v>
      </c>
      <c r="J9" s="178"/>
      <c r="K9" s="177">
        <v>72</v>
      </c>
      <c r="L9" s="179"/>
      <c r="M9" s="174">
        <v>49</v>
      </c>
      <c r="N9" s="180"/>
      <c r="O9" s="33">
        <f>E9+G9+I9+K9+M9</f>
        <v>265</v>
      </c>
      <c r="P9" s="34"/>
      <c r="Q9" s="12"/>
      <c r="R9" s="12"/>
      <c r="S9" s="12"/>
      <c r="T9" s="12"/>
      <c r="U9" s="12"/>
    </row>
    <row r="10" spans="2:21" x14ac:dyDescent="0.25">
      <c r="B10" s="302"/>
      <c r="C10" s="303"/>
      <c r="D10" s="291"/>
      <c r="E10" s="181"/>
      <c r="F10" s="46"/>
      <c r="G10" s="59"/>
      <c r="H10" s="46"/>
      <c r="I10" s="182"/>
      <c r="J10" s="183"/>
      <c r="K10" s="182"/>
      <c r="L10" s="184"/>
      <c r="M10" s="185"/>
      <c r="N10" s="186"/>
      <c r="O10" s="8"/>
      <c r="P10" s="37"/>
      <c r="Q10" s="12"/>
      <c r="R10" s="12"/>
      <c r="S10" s="12"/>
      <c r="T10" s="12"/>
      <c r="U10" s="12"/>
    </row>
    <row r="11" spans="2:21" x14ac:dyDescent="0.25">
      <c r="B11" s="293" t="s">
        <v>39</v>
      </c>
      <c r="C11" s="294"/>
      <c r="D11" s="295"/>
      <c r="E11" s="181">
        <v>17</v>
      </c>
      <c r="F11" s="46">
        <f>(E11*100)/E9</f>
        <v>100</v>
      </c>
      <c r="G11" s="59">
        <v>36</v>
      </c>
      <c r="H11" s="187">
        <f>(G11*100)/G9</f>
        <v>73.469387755102048</v>
      </c>
      <c r="I11" s="188">
        <v>59</v>
      </c>
      <c r="J11" s="189">
        <f>(I11*100)/I9</f>
        <v>75.641025641025635</v>
      </c>
      <c r="K11" s="188">
        <v>67</v>
      </c>
      <c r="L11" s="189">
        <f>(K11*100)/K9</f>
        <v>93.055555555555557</v>
      </c>
      <c r="M11" s="190">
        <v>37</v>
      </c>
      <c r="N11" s="191">
        <f>(M11*100)/M9</f>
        <v>75.510204081632651</v>
      </c>
      <c r="O11" s="8">
        <f t="shared" ref="O11:O16" si="0">E11+G11+I11+K11+M11</f>
        <v>216</v>
      </c>
      <c r="P11" s="187">
        <f>(O11*100)/O9</f>
        <v>81.509433962264154</v>
      </c>
      <c r="Q11" s="12"/>
      <c r="R11" s="12"/>
      <c r="S11" s="12"/>
      <c r="T11" s="12"/>
      <c r="U11" s="12"/>
    </row>
    <row r="12" spans="2:21" x14ac:dyDescent="0.25">
      <c r="B12" s="293" t="s">
        <v>23</v>
      </c>
      <c r="C12" s="294"/>
      <c r="D12" s="295"/>
      <c r="E12" s="181">
        <v>15</v>
      </c>
      <c r="F12" s="192">
        <f>(E12*100)/E11</f>
        <v>88.235294117647058</v>
      </c>
      <c r="G12" s="59">
        <v>28</v>
      </c>
      <c r="H12" s="192">
        <f>(G12*100)/G11</f>
        <v>77.777777777777771</v>
      </c>
      <c r="I12" s="182">
        <v>22</v>
      </c>
      <c r="J12" s="193">
        <f>(I12*100)/I11</f>
        <v>37.288135593220339</v>
      </c>
      <c r="K12" s="182">
        <v>24</v>
      </c>
      <c r="L12" s="193">
        <f>(K12*100)/K11</f>
        <v>35.820895522388057</v>
      </c>
      <c r="M12" s="181">
        <v>9</v>
      </c>
      <c r="N12" s="194">
        <f>(M12*100)/M11</f>
        <v>24.324324324324323</v>
      </c>
      <c r="O12" s="8">
        <f t="shared" si="0"/>
        <v>98</v>
      </c>
      <c r="P12" s="192">
        <f>(O12*100)/O11</f>
        <v>45.370370370370374</v>
      </c>
      <c r="Q12" s="13"/>
      <c r="R12" s="13"/>
      <c r="T12" s="12"/>
      <c r="U12" s="12"/>
    </row>
    <row r="13" spans="2:21" x14ac:dyDescent="0.25">
      <c r="B13" s="293" t="s">
        <v>25</v>
      </c>
      <c r="C13" s="294"/>
      <c r="D13" s="295"/>
      <c r="E13" s="181">
        <v>14</v>
      </c>
      <c r="F13" s="192">
        <f>(E13*100)/E12</f>
        <v>93.333333333333329</v>
      </c>
      <c r="G13" s="59">
        <v>28</v>
      </c>
      <c r="H13" s="192">
        <f>(G13*100)/G12</f>
        <v>100</v>
      </c>
      <c r="I13" s="182">
        <v>17</v>
      </c>
      <c r="J13" s="195">
        <f>(I13*100)/I12</f>
        <v>77.272727272727266</v>
      </c>
      <c r="K13" s="182">
        <v>22</v>
      </c>
      <c r="L13" s="195">
        <f>(K13*100)/K12</f>
        <v>91.666666666666671</v>
      </c>
      <c r="M13" s="181">
        <v>9</v>
      </c>
      <c r="N13" s="194">
        <f>(M13*100)/M12</f>
        <v>100</v>
      </c>
      <c r="O13" s="8">
        <f t="shared" si="0"/>
        <v>90</v>
      </c>
      <c r="P13" s="192">
        <f>(O13*100)/O12</f>
        <v>91.836734693877546</v>
      </c>
      <c r="T13" s="12"/>
      <c r="U13" s="12"/>
    </row>
    <row r="14" spans="2:21" x14ac:dyDescent="0.25">
      <c r="B14" s="293" t="s">
        <v>27</v>
      </c>
      <c r="C14" s="294"/>
      <c r="D14" s="295"/>
      <c r="E14" s="181">
        <v>1</v>
      </c>
      <c r="F14" s="192">
        <f>(E14*100)/E12</f>
        <v>6.666666666666667</v>
      </c>
      <c r="G14" s="59">
        <v>0</v>
      </c>
      <c r="H14" s="192">
        <f>(G14*100)/G12</f>
        <v>0</v>
      </c>
      <c r="I14" s="182">
        <v>5</v>
      </c>
      <c r="J14" s="195">
        <f>(I14*100)/I12</f>
        <v>22.727272727272727</v>
      </c>
      <c r="K14" s="182">
        <v>2</v>
      </c>
      <c r="L14" s="195">
        <f>(K14*100)/K12</f>
        <v>8.3333333333333339</v>
      </c>
      <c r="M14" s="181">
        <v>1</v>
      </c>
      <c r="N14" s="194">
        <f>(M14*100)/M12</f>
        <v>11.111111111111111</v>
      </c>
      <c r="O14" s="8">
        <f t="shared" si="0"/>
        <v>9</v>
      </c>
      <c r="P14" s="192">
        <f>(O14*100)/O12</f>
        <v>9.183673469387756</v>
      </c>
      <c r="T14" s="12"/>
      <c r="U14" s="12"/>
    </row>
    <row r="15" spans="2:21" x14ac:dyDescent="0.25">
      <c r="B15" s="293" t="s">
        <v>29</v>
      </c>
      <c r="C15" s="294"/>
      <c r="D15" s="295"/>
      <c r="E15" s="181">
        <v>1</v>
      </c>
      <c r="F15" s="192">
        <f>(E15*100)/E14</f>
        <v>100</v>
      </c>
      <c r="G15" s="59">
        <v>0</v>
      </c>
      <c r="H15" s="46"/>
      <c r="I15" s="182">
        <v>0</v>
      </c>
      <c r="J15" s="183"/>
      <c r="K15" s="182">
        <v>0</v>
      </c>
      <c r="L15" s="184"/>
      <c r="M15" s="181">
        <v>0</v>
      </c>
      <c r="N15" s="186"/>
      <c r="O15" s="8">
        <f t="shared" si="0"/>
        <v>1</v>
      </c>
      <c r="P15" s="37"/>
      <c r="T15" s="12"/>
      <c r="U15" s="12"/>
    </row>
    <row r="16" spans="2:21" x14ac:dyDescent="0.25">
      <c r="B16" s="293" t="s">
        <v>119</v>
      </c>
      <c r="C16" s="294"/>
      <c r="D16" s="295"/>
      <c r="E16" s="181"/>
      <c r="F16" s="46"/>
      <c r="G16" s="59"/>
      <c r="H16" s="46"/>
      <c r="I16" s="182">
        <v>5</v>
      </c>
      <c r="J16" s="193">
        <f>(I16*100)/I14</f>
        <v>100</v>
      </c>
      <c r="K16" s="182">
        <v>2</v>
      </c>
      <c r="L16" s="193">
        <f>(K16*100)/K14</f>
        <v>100</v>
      </c>
      <c r="M16" s="185"/>
      <c r="N16" s="186"/>
      <c r="O16" s="8">
        <f t="shared" si="0"/>
        <v>7</v>
      </c>
      <c r="P16" s="37"/>
      <c r="T16" s="12"/>
      <c r="U16" s="12"/>
    </row>
    <row r="17" spans="2:43" x14ac:dyDescent="0.25">
      <c r="B17" s="291"/>
      <c r="C17" s="292"/>
      <c r="D17" s="292"/>
      <c r="E17" s="181"/>
      <c r="F17" s="46"/>
      <c r="G17" s="59"/>
      <c r="H17" s="45"/>
      <c r="I17" s="196"/>
      <c r="J17" s="196"/>
      <c r="K17" s="196"/>
      <c r="L17" s="196"/>
      <c r="M17" s="45"/>
      <c r="N17" s="197"/>
      <c r="O17" s="27"/>
      <c r="P17" s="28"/>
    </row>
    <row r="18" spans="2:43" x14ac:dyDescent="0.25">
      <c r="B18" s="293" t="s">
        <v>24</v>
      </c>
      <c r="C18" s="294"/>
      <c r="D18" s="295"/>
      <c r="E18" s="181">
        <v>15</v>
      </c>
      <c r="F18" s="192">
        <f>(E18*100)/E11</f>
        <v>88.235294117647058</v>
      </c>
      <c r="G18" s="59">
        <v>24</v>
      </c>
      <c r="H18" s="192">
        <f>(G18*100)/G11</f>
        <v>66.666666666666671</v>
      </c>
      <c r="I18" s="182">
        <v>19</v>
      </c>
      <c r="J18" s="193">
        <f>(I18*100)/I11</f>
        <v>32.203389830508478</v>
      </c>
      <c r="K18" s="182">
        <v>14</v>
      </c>
      <c r="L18" s="193">
        <f>(K18*100)/K11</f>
        <v>20.895522388059703</v>
      </c>
      <c r="M18" s="181">
        <v>9</v>
      </c>
      <c r="N18" s="194">
        <f>(M18*100)/M11</f>
        <v>24.324324324324323</v>
      </c>
      <c r="O18" s="8">
        <f t="shared" ref="O18:O28" si="1">E18+G18+I18+K18+M18</f>
        <v>81</v>
      </c>
      <c r="P18" s="192">
        <f>(O18*100)/O11</f>
        <v>37.5</v>
      </c>
    </row>
    <row r="19" spans="2:43" x14ac:dyDescent="0.25">
      <c r="B19" s="287" t="s">
        <v>89</v>
      </c>
      <c r="C19" s="288"/>
      <c r="D19" s="288"/>
      <c r="E19" s="181">
        <v>47</v>
      </c>
      <c r="F19" s="46"/>
      <c r="G19" s="59">
        <v>80</v>
      </c>
      <c r="H19" s="46"/>
      <c r="I19" s="182">
        <v>56</v>
      </c>
      <c r="J19" s="183"/>
      <c r="K19" s="182">
        <v>28</v>
      </c>
      <c r="L19" s="184"/>
      <c r="M19" s="185">
        <v>22</v>
      </c>
      <c r="N19" s="186"/>
      <c r="O19" s="8">
        <f t="shared" si="1"/>
        <v>233</v>
      </c>
      <c r="P19" s="37"/>
      <c r="T19" s="12"/>
      <c r="U19" s="12"/>
    </row>
    <row r="20" spans="2:43" x14ac:dyDescent="0.25">
      <c r="B20" s="293" t="s">
        <v>26</v>
      </c>
      <c r="C20" s="294"/>
      <c r="D20" s="295"/>
      <c r="E20" s="181">
        <v>29</v>
      </c>
      <c r="F20" s="192">
        <f>(E20*100)/E19</f>
        <v>61.702127659574465</v>
      </c>
      <c r="G20" s="59">
        <v>52</v>
      </c>
      <c r="H20" s="192">
        <f>(G20*100)/G19</f>
        <v>65</v>
      </c>
      <c r="I20" s="182">
        <v>43</v>
      </c>
      <c r="J20" s="193">
        <f>(I20*100)/I19</f>
        <v>76.785714285714292</v>
      </c>
      <c r="K20" s="182">
        <v>12</v>
      </c>
      <c r="L20" s="198">
        <v>65</v>
      </c>
      <c r="M20" s="181">
        <v>9</v>
      </c>
      <c r="N20" s="194">
        <f>(M20*100)/M19</f>
        <v>40.909090909090907</v>
      </c>
      <c r="O20" s="8">
        <f t="shared" si="1"/>
        <v>145</v>
      </c>
      <c r="P20" s="192">
        <f>(O20*100)/O19</f>
        <v>62.231759656652358</v>
      </c>
    </row>
    <row r="21" spans="2:43" x14ac:dyDescent="0.25">
      <c r="B21" s="293" t="s">
        <v>28</v>
      </c>
      <c r="C21" s="294"/>
      <c r="D21" s="295"/>
      <c r="E21" s="181">
        <v>6</v>
      </c>
      <c r="F21" s="46"/>
      <c r="G21" s="59"/>
      <c r="H21" s="46"/>
      <c r="I21" s="182">
        <v>18</v>
      </c>
      <c r="J21" s="183"/>
      <c r="K21" s="182">
        <v>4</v>
      </c>
      <c r="L21" s="199"/>
      <c r="M21" s="181">
        <v>2</v>
      </c>
      <c r="N21" s="200"/>
      <c r="O21" s="8">
        <f t="shared" si="1"/>
        <v>30</v>
      </c>
      <c r="P21" s="46"/>
    </row>
    <row r="22" spans="2:43" x14ac:dyDescent="0.25">
      <c r="B22" s="293" t="s">
        <v>31</v>
      </c>
      <c r="C22" s="294"/>
      <c r="D22" s="295"/>
      <c r="E22" s="181">
        <v>18</v>
      </c>
      <c r="F22" s="192">
        <f>(E22*100)/E19</f>
        <v>38.297872340425535</v>
      </c>
      <c r="G22" s="59">
        <v>28</v>
      </c>
      <c r="H22" s="192">
        <f>(G22*100)/G19</f>
        <v>35</v>
      </c>
      <c r="I22" s="182">
        <v>13</v>
      </c>
      <c r="J22" s="193">
        <f>(I22*100)/I19</f>
        <v>23.214285714285715</v>
      </c>
      <c r="K22" s="182">
        <v>16</v>
      </c>
      <c r="L22" s="201">
        <v>35</v>
      </c>
      <c r="M22" s="181">
        <v>13</v>
      </c>
      <c r="N22" s="194">
        <f>(M22*100)/M19</f>
        <v>59.090909090909093</v>
      </c>
      <c r="O22" s="8">
        <f t="shared" si="1"/>
        <v>88</v>
      </c>
      <c r="P22" s="192">
        <f>(O22*100)/O19</f>
        <v>37.768240343347642</v>
      </c>
      <c r="AP22" s="2"/>
      <c r="AQ22" s="2"/>
    </row>
    <row r="23" spans="2:43" x14ac:dyDescent="0.25">
      <c r="B23" s="296" t="s">
        <v>32</v>
      </c>
      <c r="C23" s="297"/>
      <c r="D23" s="298"/>
      <c r="E23" s="202">
        <v>7</v>
      </c>
      <c r="F23" s="203">
        <f>(E23*100)/E20</f>
        <v>24.137931034482758</v>
      </c>
      <c r="G23" s="204">
        <v>20</v>
      </c>
      <c r="H23" s="203">
        <f>(G23*100)/G20</f>
        <v>38.46153846153846</v>
      </c>
      <c r="I23" s="202">
        <v>16</v>
      </c>
      <c r="J23" s="203">
        <f>(I23*100)/I20</f>
        <v>37.209302325581397</v>
      </c>
      <c r="K23" s="202">
        <v>9</v>
      </c>
      <c r="L23" s="203">
        <f>(K23*100)/K20</f>
        <v>75</v>
      </c>
      <c r="M23" s="202">
        <v>6</v>
      </c>
      <c r="N23" s="205">
        <f>(M23*100)/M20</f>
        <v>66.666666666666671</v>
      </c>
      <c r="O23" s="206">
        <f t="shared" si="1"/>
        <v>58</v>
      </c>
      <c r="P23" s="203">
        <f>(O23*100)/O20</f>
        <v>40</v>
      </c>
      <c r="AP23" s="2"/>
      <c r="AQ23" s="2"/>
    </row>
    <row r="24" spans="2:43" x14ac:dyDescent="0.25">
      <c r="B24" s="296" t="s">
        <v>34</v>
      </c>
      <c r="C24" s="297"/>
      <c r="D24" s="298"/>
      <c r="E24" s="202">
        <v>22</v>
      </c>
      <c r="F24" s="203">
        <f>(E24*100)/E20</f>
        <v>75.862068965517238</v>
      </c>
      <c r="G24" s="204">
        <v>32</v>
      </c>
      <c r="H24" s="203">
        <f>(G24*100)/G20</f>
        <v>61.53846153846154</v>
      </c>
      <c r="I24" s="202">
        <v>28</v>
      </c>
      <c r="J24" s="203">
        <f>(I24*100)/I20</f>
        <v>65.116279069767444</v>
      </c>
      <c r="K24" s="202">
        <v>4</v>
      </c>
      <c r="L24" s="203">
        <f>(K24*100)/K20</f>
        <v>33.333333333333336</v>
      </c>
      <c r="M24" s="202">
        <v>3</v>
      </c>
      <c r="N24" s="205">
        <f>(M24*100)/M20</f>
        <v>33.333333333333336</v>
      </c>
      <c r="O24" s="206">
        <f t="shared" si="1"/>
        <v>89</v>
      </c>
      <c r="P24" s="203">
        <f>(O24*100)/O20</f>
        <v>61.379310344827587</v>
      </c>
    </row>
    <row r="25" spans="2:43" x14ac:dyDescent="0.25">
      <c r="B25" s="207" t="s">
        <v>37</v>
      </c>
      <c r="C25" s="208"/>
      <c r="D25" s="209"/>
      <c r="E25" s="210">
        <v>15</v>
      </c>
      <c r="F25" s="211">
        <f>(E25*100)/E22</f>
        <v>83.333333333333329</v>
      </c>
      <c r="G25" s="212">
        <v>22</v>
      </c>
      <c r="H25" s="211">
        <f>(G25*100)/G22</f>
        <v>78.571428571428569</v>
      </c>
      <c r="I25" s="210">
        <v>9</v>
      </c>
      <c r="J25" s="211">
        <f>(I25*100)/I22</f>
        <v>69.230769230769226</v>
      </c>
      <c r="K25" s="210">
        <v>8</v>
      </c>
      <c r="L25" s="211">
        <f>(K25*100)/K22</f>
        <v>50</v>
      </c>
      <c r="M25" s="210">
        <v>10</v>
      </c>
      <c r="N25" s="213">
        <f>(M25*100)/M22</f>
        <v>76.92307692307692</v>
      </c>
      <c r="O25" s="214">
        <f t="shared" si="1"/>
        <v>64</v>
      </c>
      <c r="P25" s="211">
        <f>(O25*100)/O22</f>
        <v>72.727272727272734</v>
      </c>
    </row>
    <row r="26" spans="2:43" x14ac:dyDescent="0.25">
      <c r="B26" s="299" t="s">
        <v>40</v>
      </c>
      <c r="C26" s="300"/>
      <c r="D26" s="301"/>
      <c r="E26" s="210">
        <v>3</v>
      </c>
      <c r="F26" s="211">
        <f>(E26*100)/E22</f>
        <v>16.666666666666668</v>
      </c>
      <c r="G26" s="212">
        <v>1</v>
      </c>
      <c r="H26" s="211">
        <f>(G26*100)/G22</f>
        <v>3.5714285714285716</v>
      </c>
      <c r="I26" s="210">
        <v>4</v>
      </c>
      <c r="J26" s="211">
        <f>(I26*100)/I22</f>
        <v>30.76923076923077</v>
      </c>
      <c r="K26" s="210">
        <v>5</v>
      </c>
      <c r="L26" s="211">
        <f>(K26*100)/K22</f>
        <v>31.25</v>
      </c>
      <c r="M26" s="210">
        <v>1</v>
      </c>
      <c r="N26" s="213">
        <f>(M26*100)/M22</f>
        <v>7.6923076923076925</v>
      </c>
      <c r="O26" s="214">
        <f t="shared" si="1"/>
        <v>14</v>
      </c>
      <c r="P26" s="211">
        <f>(O26*100)/O22</f>
        <v>15.909090909090908</v>
      </c>
    </row>
    <row r="27" spans="2:43" x14ac:dyDescent="0.25">
      <c r="B27" s="215" t="s">
        <v>42</v>
      </c>
      <c r="C27" s="216"/>
      <c r="D27" s="217"/>
      <c r="E27" s="181">
        <v>1</v>
      </c>
      <c r="F27" s="192">
        <f>(E27*100)/E21</f>
        <v>16.666666666666668</v>
      </c>
      <c r="G27" s="59"/>
      <c r="H27" s="192"/>
      <c r="I27" s="182">
        <v>6</v>
      </c>
      <c r="J27" s="193">
        <f>(I27*100)/I21</f>
        <v>33.333333333333336</v>
      </c>
      <c r="K27" s="182">
        <v>2</v>
      </c>
      <c r="L27" s="193">
        <f>(K27*100)/K21</f>
        <v>50</v>
      </c>
      <c r="M27" s="181">
        <v>2</v>
      </c>
      <c r="N27" s="194">
        <f>(M27*100)/M21</f>
        <v>100</v>
      </c>
      <c r="O27" s="8">
        <f t="shared" si="1"/>
        <v>11</v>
      </c>
      <c r="P27" s="192">
        <f>(O27*100)/O21</f>
        <v>36.666666666666664</v>
      </c>
    </row>
    <row r="28" spans="2:43" x14ac:dyDescent="0.25">
      <c r="B28" s="293" t="s">
        <v>44</v>
      </c>
      <c r="C28" s="294"/>
      <c r="D28" s="295"/>
      <c r="E28" s="181">
        <v>5</v>
      </c>
      <c r="F28" s="192">
        <f>(E28*100)/E21</f>
        <v>83.333333333333329</v>
      </c>
      <c r="G28" s="59"/>
      <c r="H28" s="192"/>
      <c r="I28" s="182">
        <v>12</v>
      </c>
      <c r="J28" s="193">
        <f>(I28*100)/I21</f>
        <v>66.666666666666671</v>
      </c>
      <c r="K28" s="182">
        <v>2</v>
      </c>
      <c r="L28" s="193">
        <f>(K28*100)/K21</f>
        <v>50</v>
      </c>
      <c r="M28" s="181">
        <v>0</v>
      </c>
      <c r="N28" s="194">
        <f>(M28*100)/M21</f>
        <v>0</v>
      </c>
      <c r="O28" s="8">
        <f t="shared" si="1"/>
        <v>19</v>
      </c>
      <c r="P28" s="192">
        <f>(O28*100)/O21</f>
        <v>63.333333333333336</v>
      </c>
    </row>
    <row r="29" spans="2:43" x14ac:dyDescent="0.25">
      <c r="B29" s="302"/>
      <c r="C29" s="303"/>
      <c r="D29" s="291"/>
      <c r="E29" s="181"/>
      <c r="F29" s="46"/>
      <c r="G29" s="59"/>
      <c r="H29" s="46"/>
      <c r="I29" s="182"/>
      <c r="J29" s="183"/>
      <c r="K29" s="182"/>
      <c r="L29" s="184"/>
      <c r="M29" s="185"/>
      <c r="N29" s="197"/>
      <c r="O29" s="27"/>
      <c r="P29" s="28"/>
    </row>
    <row r="30" spans="2:43" x14ac:dyDescent="0.25">
      <c r="B30" s="287" t="s">
        <v>175</v>
      </c>
      <c r="C30" s="288"/>
      <c r="D30" s="288"/>
      <c r="E30" s="181">
        <v>29</v>
      </c>
      <c r="F30" s="46"/>
      <c r="G30" s="59">
        <v>46</v>
      </c>
      <c r="H30" s="46"/>
      <c r="I30" s="182">
        <v>42</v>
      </c>
      <c r="J30" s="183"/>
      <c r="K30" s="182">
        <v>12</v>
      </c>
      <c r="L30" s="183"/>
      <c r="M30" s="181">
        <v>9</v>
      </c>
      <c r="N30" s="197"/>
      <c r="O30" s="8">
        <f t="shared" ref="O30:O38" si="2">E30+G30+I30+K30+M30</f>
        <v>138</v>
      </c>
      <c r="P30" s="28"/>
    </row>
    <row r="31" spans="2:43" x14ac:dyDescent="0.25">
      <c r="B31" s="287" t="s">
        <v>176</v>
      </c>
      <c r="C31" s="288"/>
      <c r="D31" s="288"/>
      <c r="E31" s="181">
        <v>6</v>
      </c>
      <c r="F31" s="46"/>
      <c r="G31" s="59"/>
      <c r="H31" s="46"/>
      <c r="I31" s="182">
        <v>18</v>
      </c>
      <c r="J31" s="183"/>
      <c r="K31" s="182">
        <v>4</v>
      </c>
      <c r="L31" s="183"/>
      <c r="M31" s="181">
        <v>2</v>
      </c>
      <c r="N31" s="197"/>
      <c r="O31" s="8">
        <f t="shared" si="2"/>
        <v>30</v>
      </c>
      <c r="P31" s="28"/>
    </row>
    <row r="32" spans="2:43" x14ac:dyDescent="0.25">
      <c r="B32" s="287" t="s">
        <v>177</v>
      </c>
      <c r="C32" s="288"/>
      <c r="D32" s="288"/>
      <c r="E32" s="181">
        <v>18</v>
      </c>
      <c r="F32" s="46"/>
      <c r="G32" s="59">
        <v>24</v>
      </c>
      <c r="H32" s="46"/>
      <c r="I32" s="182">
        <v>10</v>
      </c>
      <c r="J32" s="183"/>
      <c r="K32" s="182">
        <v>14</v>
      </c>
      <c r="L32" s="183"/>
      <c r="M32" s="181">
        <v>13</v>
      </c>
      <c r="N32" s="197"/>
      <c r="O32" s="8">
        <f t="shared" si="2"/>
        <v>79</v>
      </c>
      <c r="P32" s="28"/>
    </row>
    <row r="33" spans="2:16" x14ac:dyDescent="0.25">
      <c r="B33" s="296" t="s">
        <v>33</v>
      </c>
      <c r="C33" s="297"/>
      <c r="D33" s="298"/>
      <c r="E33" s="202">
        <v>24</v>
      </c>
      <c r="F33" s="203">
        <f>(E33*100)/E30</f>
        <v>82.758620689655174</v>
      </c>
      <c r="G33" s="204">
        <v>43</v>
      </c>
      <c r="H33" s="203">
        <f>(G33*100)/G30</f>
        <v>93.478260869565219</v>
      </c>
      <c r="I33" s="202">
        <v>22</v>
      </c>
      <c r="J33" s="203">
        <f>(I33*100)/I30</f>
        <v>52.38095238095238</v>
      </c>
      <c r="K33" s="202">
        <v>10</v>
      </c>
      <c r="L33" s="203">
        <f>(K33*100)/K30</f>
        <v>83.333333333333329</v>
      </c>
      <c r="M33" s="202">
        <v>6</v>
      </c>
      <c r="N33" s="203">
        <f>(M33*100)/M30</f>
        <v>66.666666666666671</v>
      </c>
      <c r="O33" s="206">
        <f t="shared" si="2"/>
        <v>105</v>
      </c>
      <c r="P33" s="203">
        <f>(O33*100)/O30</f>
        <v>76.086956521739125</v>
      </c>
    </row>
    <row r="34" spans="2:16" x14ac:dyDescent="0.25">
      <c r="B34" s="283" t="s">
        <v>35</v>
      </c>
      <c r="C34" s="284"/>
      <c r="D34" s="284"/>
      <c r="E34" s="202">
        <v>5</v>
      </c>
      <c r="F34" s="203">
        <f>(E34*100)/E30</f>
        <v>17.241379310344829</v>
      </c>
      <c r="G34" s="204">
        <v>3</v>
      </c>
      <c r="H34" s="203">
        <f>(G34*100)/G30</f>
        <v>6.5217391304347823</v>
      </c>
      <c r="I34" s="202">
        <v>20</v>
      </c>
      <c r="J34" s="203">
        <f>(I34*100)/I30</f>
        <v>47.61904761904762</v>
      </c>
      <c r="K34" s="202">
        <v>2</v>
      </c>
      <c r="L34" s="203">
        <f>(K34*100)/K30</f>
        <v>16.666666666666668</v>
      </c>
      <c r="M34" s="202">
        <v>1</v>
      </c>
      <c r="N34" s="203">
        <f>(M34*100)/M30</f>
        <v>11.111111111111111</v>
      </c>
      <c r="O34" s="206">
        <f t="shared" si="2"/>
        <v>31</v>
      </c>
      <c r="P34" s="203">
        <f>(O34*100)/O30</f>
        <v>22.463768115942027</v>
      </c>
    </row>
    <row r="35" spans="2:16" x14ac:dyDescent="0.25">
      <c r="B35" s="285" t="s">
        <v>38</v>
      </c>
      <c r="C35" s="286"/>
      <c r="D35" s="286"/>
      <c r="E35" s="210">
        <v>18</v>
      </c>
      <c r="F35" s="211">
        <f>(E35*100)/E32</f>
        <v>100</v>
      </c>
      <c r="G35" s="212">
        <v>21</v>
      </c>
      <c r="H35" s="211">
        <f>(G35*100)/G32</f>
        <v>87.5</v>
      </c>
      <c r="I35" s="210">
        <v>9</v>
      </c>
      <c r="J35" s="211">
        <f>(I35*100)/I32</f>
        <v>90</v>
      </c>
      <c r="K35" s="210">
        <v>8</v>
      </c>
      <c r="L35" s="211">
        <f>(K35*100)/K32</f>
        <v>57.142857142857146</v>
      </c>
      <c r="M35" s="210">
        <v>6</v>
      </c>
      <c r="N35" s="211">
        <f>(M35*100)/M32</f>
        <v>46.153846153846153</v>
      </c>
      <c r="O35" s="214">
        <f t="shared" si="2"/>
        <v>62</v>
      </c>
      <c r="P35" s="211">
        <f>(O35*100)/O32</f>
        <v>78.481012658227854</v>
      </c>
    </row>
    <row r="36" spans="2:16" x14ac:dyDescent="0.25">
      <c r="B36" s="285" t="s">
        <v>41</v>
      </c>
      <c r="C36" s="286"/>
      <c r="D36" s="286"/>
      <c r="E36" s="210"/>
      <c r="F36" s="218"/>
      <c r="G36" s="212">
        <v>1</v>
      </c>
      <c r="H36" s="211">
        <f>(G36*100)/G32</f>
        <v>4.166666666666667</v>
      </c>
      <c r="I36" s="210">
        <v>1</v>
      </c>
      <c r="J36" s="211">
        <f>(I36*100)/I32</f>
        <v>10</v>
      </c>
      <c r="K36" s="210">
        <v>5</v>
      </c>
      <c r="L36" s="211">
        <f>(K36*100)/K32</f>
        <v>35.714285714285715</v>
      </c>
      <c r="M36" s="210">
        <v>1</v>
      </c>
      <c r="N36" s="211">
        <f>(M36*100)/M32</f>
        <v>7.6923076923076925</v>
      </c>
      <c r="O36" s="214">
        <f t="shared" si="2"/>
        <v>8</v>
      </c>
      <c r="P36" s="211">
        <f>(O36*100)/O32</f>
        <v>10.126582278481013</v>
      </c>
    </row>
    <row r="37" spans="2:16" x14ac:dyDescent="0.25">
      <c r="B37" s="287" t="s">
        <v>43</v>
      </c>
      <c r="C37" s="288"/>
      <c r="D37" s="288"/>
      <c r="E37" s="181">
        <v>6</v>
      </c>
      <c r="F37" s="192">
        <f>(E37*100)/E31</f>
        <v>100</v>
      </c>
      <c r="G37" s="59"/>
      <c r="H37" s="192"/>
      <c r="I37" s="182">
        <v>6</v>
      </c>
      <c r="J37" s="193">
        <f>(I37*100)/I31</f>
        <v>33.333333333333336</v>
      </c>
      <c r="K37" s="182">
        <v>4</v>
      </c>
      <c r="L37" s="193">
        <f>(K37*100)/K31</f>
        <v>100</v>
      </c>
      <c r="M37" s="181">
        <v>2</v>
      </c>
      <c r="N37" s="192">
        <f>(M37*100)/M31</f>
        <v>100</v>
      </c>
      <c r="O37" s="8">
        <f t="shared" si="2"/>
        <v>18</v>
      </c>
      <c r="P37" s="192">
        <f>(O37*100)/O31</f>
        <v>60</v>
      </c>
    </row>
    <row r="38" spans="2:16" ht="16.5" thickBot="1" x14ac:dyDescent="0.3">
      <c r="B38" s="289" t="s">
        <v>45</v>
      </c>
      <c r="C38" s="290"/>
      <c r="D38" s="290"/>
      <c r="E38" s="170">
        <v>0</v>
      </c>
      <c r="F38" s="219">
        <f>(E38*100)/E31</f>
        <v>0</v>
      </c>
      <c r="G38" s="60"/>
      <c r="H38" s="219"/>
      <c r="I38" s="171">
        <v>10</v>
      </c>
      <c r="J38" s="220">
        <f>(I38*100)/I31</f>
        <v>55.555555555555557</v>
      </c>
      <c r="K38" s="171">
        <v>0</v>
      </c>
      <c r="L38" s="220">
        <f>(K38*100)/K31</f>
        <v>0</v>
      </c>
      <c r="M38" s="170"/>
      <c r="N38" s="219"/>
      <c r="O38" s="38">
        <f t="shared" si="2"/>
        <v>10</v>
      </c>
      <c r="P38" s="5"/>
    </row>
  </sheetData>
  <mergeCells count="35">
    <mergeCell ref="B14:D14"/>
    <mergeCell ref="B15:D15"/>
    <mergeCell ref="B16:D16"/>
    <mergeCell ref="B13:D13"/>
    <mergeCell ref="B7:D8"/>
    <mergeCell ref="B10:D10"/>
    <mergeCell ref="B11:D11"/>
    <mergeCell ref="B12:D12"/>
    <mergeCell ref="E7:F7"/>
    <mergeCell ref="G7:H7"/>
    <mergeCell ref="I7:J7"/>
    <mergeCell ref="O7:P7"/>
    <mergeCell ref="B9:D9"/>
    <mergeCell ref="K7:L7"/>
    <mergeCell ref="M7:N7"/>
    <mergeCell ref="B17:D17"/>
    <mergeCell ref="B18:D18"/>
    <mergeCell ref="B33:D33"/>
    <mergeCell ref="B20:D20"/>
    <mergeCell ref="B21:D21"/>
    <mergeCell ref="B22:D22"/>
    <mergeCell ref="B23:D23"/>
    <mergeCell ref="B24:D24"/>
    <mergeCell ref="B26:D26"/>
    <mergeCell ref="B28:D28"/>
    <mergeCell ref="B29:D29"/>
    <mergeCell ref="B30:D30"/>
    <mergeCell ref="B31:D31"/>
    <mergeCell ref="B32:D32"/>
    <mergeCell ref="B19:D19"/>
    <mergeCell ref="B34:D34"/>
    <mergeCell ref="B35:D35"/>
    <mergeCell ref="B36:D36"/>
    <mergeCell ref="B37:D37"/>
    <mergeCell ref="B38:D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2" workbookViewId="0">
      <selection activeCell="F24" sqref="F24"/>
    </sheetView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Santa Cruz </vt:lpstr>
      <vt:lpstr>Castilla </vt:lpstr>
      <vt:lpstr>Robledo</vt:lpstr>
      <vt:lpstr>Belen</vt:lpstr>
      <vt:lpstr>Buenos Aires</vt:lpstr>
      <vt:lpstr>Resumen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Alfonso Parra</dc:creator>
  <cp:lastModifiedBy>Rincon, Diego</cp:lastModifiedBy>
  <dcterms:created xsi:type="dcterms:W3CDTF">2026-01-27T20:21:56Z</dcterms:created>
  <dcterms:modified xsi:type="dcterms:W3CDTF">2026-02-17T18:58:49Z</dcterms:modified>
</cp:coreProperties>
</file>